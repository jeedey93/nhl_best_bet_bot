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aquants" sheetId="1" r:id="rId5"/>
    <sheet state="visible" name="Défenseurs" sheetId="2" r:id="rId6"/>
    <sheet state="visible" name="Gardiens" sheetId="3" r:id="rId7"/>
    <sheet state="visible" name="Copie de Gardiens" sheetId="4" r:id="rId8"/>
    <sheet state="visible" name="Copie de Attaquants_CHAT" sheetId="5" r:id="rId9"/>
    <sheet state="visible" name="Copie de Défenseurs_CHAT" sheetId="6" r:id="rId10"/>
  </sheets>
  <definedNames>
    <definedName hidden="1" localSheetId="3" name="_xlnm._FilterDatabase">'Copie de Gardiens'!$A$2:$U$74</definedName>
  </definedNames>
  <calcPr/>
</workbook>
</file>

<file path=xl/sharedStrings.xml><?xml version="1.0" encoding="utf-8"?>
<sst xmlns="http://schemas.openxmlformats.org/spreadsheetml/2006/main" count="5461" uniqueCount="1661">
  <si>
    <t>GARDIENS</t>
  </si>
  <si>
    <t>DÉFENSEURS</t>
  </si>
  <si>
    <t>Rang</t>
  </si>
  <si>
    <t>Tier</t>
  </si>
  <si>
    <t>Noms</t>
  </si>
  <si>
    <t>Âge</t>
  </si>
  <si>
    <t>Équipe</t>
  </si>
  <si>
    <t>QS 25-26</t>
  </si>
  <si>
    <t>Pos</t>
  </si>
  <si>
    <t>QS carrière</t>
  </si>
  <si>
    <t>Steal</t>
  </si>
  <si>
    <t>GP</t>
  </si>
  <si>
    <t>W</t>
  </si>
  <si>
    <t>L</t>
  </si>
  <si>
    <t>OTL</t>
  </si>
  <si>
    <t>GAA</t>
  </si>
  <si>
    <t>xW</t>
  </si>
  <si>
    <t>SV%</t>
  </si>
  <si>
    <t>PTS</t>
  </si>
  <si>
    <t>SO</t>
  </si>
  <si>
    <t>2V+1OTL+3SO</t>
  </si>
  <si>
    <t>W%</t>
  </si>
  <si>
    <t>QS%</t>
  </si>
  <si>
    <t>RBS%</t>
  </si>
  <si>
    <t>RBW%</t>
  </si>
  <si>
    <t>GSAx</t>
  </si>
  <si>
    <t>Salaire</t>
  </si>
  <si>
    <t>SV% 5v5</t>
  </si>
  <si>
    <t>Menace</t>
  </si>
  <si>
    <t>Score</t>
  </si>
  <si>
    <t>Notes</t>
  </si>
  <si>
    <t>Band-aid</t>
  </si>
  <si>
    <t>PJ</t>
  </si>
  <si>
    <t>Risqué</t>
  </si>
  <si>
    <t>Upside</t>
  </si>
  <si>
    <t>B</t>
  </si>
  <si>
    <t>A</t>
  </si>
  <si>
    <t>Pts</t>
  </si>
  <si>
    <t>PPG</t>
  </si>
  <si>
    <t>Jake Oettinger</t>
  </si>
  <si>
    <t>ATTAQUANTS</t>
  </si>
  <si>
    <t>Tier 1 - Élite</t>
  </si>
  <si>
    <t>G</t>
  </si>
  <si>
    <t>DAL</t>
  </si>
  <si>
    <t>Andrei Vasilevskiy</t>
  </si>
  <si>
    <t>Evan Bouchard</t>
  </si>
  <si>
    <t>Tier 1 - GOAT</t>
  </si>
  <si>
    <t>T.B</t>
  </si>
  <si>
    <t>D</t>
  </si>
  <si>
    <t>EDM</t>
  </si>
  <si>
    <t>Volume/victoires très forts; historique rassurant.</t>
  </si>
  <si>
    <t>$9.50M</t>
  </si>
  <si>
    <t>A fini 78 en 59. Meilleur défenseur pour un pool. Machine à points (et à revirements!)</t>
  </si>
  <si>
    <t>Quinn Hughes</t>
  </si>
  <si>
    <t>MIN</t>
  </si>
  <si>
    <t>Karel Vejmelka</t>
  </si>
  <si>
    <t>Connor McDavid</t>
  </si>
  <si>
    <t>UTA</t>
  </si>
  <si>
    <t>53 en 48 avec le Wild, % de tirs bas. Il va faire encore kieux</t>
  </si>
  <si>
    <t>C</t>
  </si>
  <si>
    <t>GOAT</t>
  </si>
  <si>
    <t>$8.25M</t>
  </si>
  <si>
    <t>Cale Makar</t>
  </si>
  <si>
    <t>Ilya Sorokin</t>
  </si>
  <si>
    <t>COL</t>
  </si>
  <si>
    <t>NYI</t>
  </si>
  <si>
    <t xml:space="preserve">Tirait moins. Meilleur défenseur de la LNH, top 5 dans un pool. </t>
  </si>
  <si>
    <t>Superstars</t>
  </si>
  <si>
    <t>$4.75M</t>
  </si>
  <si>
    <t>Connor Hellebuyck</t>
  </si>
  <si>
    <t>Zach Werenski</t>
  </si>
  <si>
    <t>WPG</t>
  </si>
  <si>
    <t xml:space="preserve">Meilleur joueur incontesté. </t>
  </si>
  <si>
    <t>CLB</t>
  </si>
  <si>
    <t>Bon profil points-only; historique rassurant.</t>
  </si>
  <si>
    <t>Logan Thompson</t>
  </si>
  <si>
    <t>WSH</t>
  </si>
  <si>
    <t>OUI</t>
  </si>
  <si>
    <t>Nathan Mackinnon</t>
  </si>
  <si>
    <t>$8.50M</t>
  </si>
  <si>
    <t>Tirs beaucoup, joue énormément et a prouvé sa production. N'a pas énormément de PP points</t>
  </si>
  <si>
    <t>Jeremy Swayman</t>
  </si>
  <si>
    <t>All-Stars</t>
  </si>
  <si>
    <t>BOS</t>
  </si>
  <si>
    <t>Volume/victoires très forts; solide en catégories; historique rassurant.</t>
  </si>
  <si>
    <t>Adam Fox</t>
  </si>
  <si>
    <t>Tier 2 - Superstar</t>
  </si>
  <si>
    <t>Scott Wedgewood</t>
  </si>
  <si>
    <t>NYR</t>
  </si>
  <si>
    <t>2e meilleur joueur. Stats complètement folle. Chance un peu élevé</t>
  </si>
  <si>
    <t xml:space="preserve">nombre de points </t>
  </si>
  <si>
    <t>nombre de point par match</t>
  </si>
  <si>
    <t>Il a fini 24 en 21. Il est encore dominant. Doit tirer plus</t>
  </si>
  <si>
    <t>Elite</t>
  </si>
  <si>
    <t>Macklin Celebrini</t>
  </si>
  <si>
    <t xml:space="preserve">C </t>
  </si>
  <si>
    <t>SJS</t>
  </si>
  <si>
    <t>Rasmus Dahlin</t>
  </si>
  <si>
    <t>BUF</t>
  </si>
  <si>
    <t>Volume/victoires très forts; solide en catégories.</t>
  </si>
  <si>
    <t>Filip Gustavsson (blessé)</t>
  </si>
  <si>
    <t>Devrait faire encore plus de points en PP. Encore à une année de son breakout</t>
  </si>
  <si>
    <t xml:space="preserve">Superstar. Va demeure au top des producteurs. </t>
  </si>
  <si>
    <t>105+</t>
  </si>
  <si>
    <t>$5.85M</t>
  </si>
  <si>
    <t>1ère Paire</t>
  </si>
  <si>
    <t>1,25 et plus</t>
  </si>
  <si>
    <t>Lane Hutson</t>
  </si>
  <si>
    <t>Leon Draisaitl</t>
  </si>
  <si>
    <t>MTL</t>
  </si>
  <si>
    <t>Bon profil points-only; solide en catégories; historique rassurant.</t>
  </si>
  <si>
    <t>John Gibson</t>
  </si>
  <si>
    <t>Tier 2 - No.1 premium</t>
  </si>
  <si>
    <t>Top 5 dans la LNH. Il n'a simplement pas le potentiel de faire 140-150</t>
  </si>
  <si>
    <t>DET</t>
  </si>
  <si>
    <t xml:space="preserve">Doit tirer plus. % de tirs élevé, mais surutilisé en PP. </t>
  </si>
  <si>
    <t>Top 4 - Off</t>
  </si>
  <si>
    <t>92 et 104</t>
  </si>
  <si>
    <t>1,10 et 1,20</t>
  </si>
  <si>
    <t>Nikita Kucherov</t>
  </si>
  <si>
    <t>Jake Sanderson</t>
  </si>
  <si>
    <t>Tier 3 - All-Star</t>
  </si>
  <si>
    <t>OTT</t>
  </si>
  <si>
    <t>AD</t>
  </si>
  <si>
    <t>TBL</t>
  </si>
  <si>
    <t>Bon profil points-only.</t>
  </si>
  <si>
    <t>Linus Ullmark</t>
  </si>
  <si>
    <t>Tier 3 - No.1 solide</t>
  </si>
  <si>
    <t>S'approche du déf offensif élite. % de tirs un peu élevé. Il a fini 25 en 27</t>
  </si>
  <si>
    <t>Top 4</t>
  </si>
  <si>
    <t>% de tirs élevé, tirait moins au filet et a eu plus de passes secondaires. Le début de la régression</t>
  </si>
  <si>
    <t>Moritz Seider</t>
  </si>
  <si>
    <t>84 et 91</t>
  </si>
  <si>
    <t>1,00 et 1,09</t>
  </si>
  <si>
    <t>David Pastrnak</t>
  </si>
  <si>
    <t>Enfin moins en DN. On l'utilise offensivement. Il a fini 19 en 19.</t>
  </si>
  <si>
    <t>Top 6</t>
  </si>
  <si>
    <t>Miro Heiskanen</t>
  </si>
  <si>
    <t>Ferait 100 points en jouant avec deux joueurs atome B. % de tirs bas, aurait pu faire plus!</t>
  </si>
  <si>
    <t>74 et 83</t>
  </si>
  <si>
    <t>0,88 et 0,99</t>
  </si>
  <si>
    <t>Doit tiré plus pour passer au prochain niveau. Joue beauocup en IN, ce qui le prive de points</t>
  </si>
  <si>
    <t>Nick Suzuki</t>
  </si>
  <si>
    <t>Joel Hofer</t>
  </si>
  <si>
    <t>Longshots</t>
  </si>
  <si>
    <t>STL</t>
  </si>
  <si>
    <t>Matthew Schaefer</t>
  </si>
  <si>
    <t>Aucune baisse de régime en vue. S'appuie beaucoup sur le PP</t>
  </si>
  <si>
    <t>Top line</t>
  </si>
  <si>
    <t>% de tirs élevé, Peu de points en PP. Va continuer sa progression</t>
  </si>
  <si>
    <t>Hail Mary</t>
  </si>
  <si>
    <t>Jack Hughes</t>
  </si>
  <si>
    <t>Brandon Bussi</t>
  </si>
  <si>
    <t>NJD</t>
  </si>
  <si>
    <t>Charlie McAvoy</t>
  </si>
  <si>
    <t>CAR</t>
  </si>
  <si>
    <t>Sergei Bobrovsky</t>
  </si>
  <si>
    <t>TOR</t>
  </si>
  <si>
    <t>Tir beaucoup, joue beaucoup, il est seulement toujours blessé</t>
  </si>
  <si>
    <t>Top 6+</t>
  </si>
  <si>
    <t xml:space="preserve">Il a fini 40 en 39. % de tirs de ses coéquipiers un peu élevé. </t>
  </si>
  <si>
    <t>Volume utile.</t>
  </si>
  <si>
    <t>Kirill Kaprizov</t>
  </si>
  <si>
    <t>Jet Greaves</t>
  </si>
  <si>
    <t>Josh Morrissey</t>
  </si>
  <si>
    <t>AG</t>
  </si>
  <si>
    <t>CBJ</t>
  </si>
  <si>
    <t>$10.00M</t>
  </si>
  <si>
    <t>Il tire un peu moins souvent et l'attaque des Jets est moins dominante. Il demeure un def d'exception</t>
  </si>
  <si>
    <t>Carter Hart</t>
  </si>
  <si>
    <t>VGK</t>
  </si>
  <si>
    <t>Bon profil points-only; solide en catégories.</t>
  </si>
  <si>
    <t>Son total dépend de ses coéquipers. Zuccarello lui a nuit. N'a pas eu de séquence incroyables</t>
  </si>
  <si>
    <t>Mikhail Sergachev</t>
  </si>
  <si>
    <t>Tier 4 - Tandem utile</t>
  </si>
  <si>
    <t>Jack Eichel</t>
  </si>
  <si>
    <t>$2.00M</t>
  </si>
  <si>
    <t>Pas un QB de l'AN, mais récolte ses points. Def #1 assuré,</t>
  </si>
  <si>
    <t>Jacob Markstrom</t>
  </si>
  <si>
    <t>Bon profil points-only; risque catégories; historique rassurant.</t>
  </si>
  <si>
    <t>Le seul risque, c'est les blessures. Mais s'il joue 84 matchs, il peut faire 100 à 110 points</t>
  </si>
  <si>
    <t>FLA</t>
  </si>
  <si>
    <t>Top 9</t>
  </si>
  <si>
    <t>Dan Vladar</t>
  </si>
  <si>
    <t>Shayne Gostisbehere</t>
  </si>
  <si>
    <t>PHI</t>
  </si>
  <si>
    <t>Kyle Connor</t>
  </si>
  <si>
    <t>$6.00M</t>
  </si>
  <si>
    <t>Au sommet de sa forme, rarement blessé et revient de deux saisons de 92 et 97 points. Un choix sûre</t>
  </si>
  <si>
    <t>% de tirs trop élevé. Il va revenir à sa production d'avant.</t>
  </si>
  <si>
    <t>Compléments</t>
  </si>
  <si>
    <t>Lukas Dostal</t>
  </si>
  <si>
    <t>ANA</t>
  </si>
  <si>
    <t>Mikko Rantanen</t>
  </si>
  <si>
    <t>Roman Josi</t>
  </si>
  <si>
    <t>Tier 4 - Elite</t>
  </si>
  <si>
    <t>NSH</t>
  </si>
  <si>
    <t>Jesper Wallstedt</t>
  </si>
  <si>
    <t>Volume/victoires très forts; risque catégories; historique rassurant.</t>
  </si>
  <si>
    <t>N'a pas tiré beaucoup. Joue moins qu'au Colorado. Facteur chance un peu élevé</t>
  </si>
  <si>
    <t xml:space="preserve"> </t>
  </si>
  <si>
    <t>Juuse Saros</t>
  </si>
  <si>
    <t>Tire beaucoup moins, beauocup de passes secondaires. Joue moins en zone off. Régression</t>
  </si>
  <si>
    <t>Mark Scheifele</t>
  </si>
  <si>
    <t>Darren Raddysh</t>
  </si>
  <si>
    <t>$3.75M</t>
  </si>
  <si>
    <t xml:space="preserve">Il n'a jamais eu un rôle aussi offensif et n'a jamais autant joué. Refaire 100 points n'est pas impossible. </t>
  </si>
  <si>
    <t>Mackenzie Blackwood</t>
  </si>
  <si>
    <t>Le % de tir de Raddysh est trop élevé, mais il demeure une menace offensive. 60 points est possible</t>
  </si>
  <si>
    <t>Jakub Dobes</t>
  </si>
  <si>
    <t>Mitch Marner</t>
  </si>
  <si>
    <t>Jackson Lacombe</t>
  </si>
  <si>
    <t>C/AD</t>
  </si>
  <si>
    <t>$5.25M</t>
  </si>
  <si>
    <t>À ralentit à sa première année à Vegas, mais il va rebondir. Il peut produire, comme en séries</t>
  </si>
  <si>
    <t>Ne tire pas assez pour faire plus. Commence même pas 50% en zone off</t>
  </si>
  <si>
    <t>Jason Robertson</t>
  </si>
  <si>
    <t>John Carlson</t>
  </si>
  <si>
    <t>Darcy Kuemper</t>
  </si>
  <si>
    <t>L.A</t>
  </si>
  <si>
    <t>Quand il tire beaucoup, il produit beauocup. N'a jamais autant joué et 80% du PP. Machine a points</t>
  </si>
  <si>
    <t>$1.50M</t>
  </si>
  <si>
    <t>% de tirs très élevé l'an dernier, régression à venir</t>
  </si>
  <si>
    <t>Connor Bedard</t>
  </si>
  <si>
    <t>Pyotr Kochetkov</t>
  </si>
  <si>
    <t>CHI</t>
  </si>
  <si>
    <t>Erik Karlsson</t>
  </si>
  <si>
    <t>Volume utile; risque catégories; historique rassurant.</t>
  </si>
  <si>
    <t>PIT</t>
  </si>
  <si>
    <t>Stuart Skinner</t>
  </si>
  <si>
    <t>Breakout. A tous les atouts pour exploser. Passes sec basses. Pourrait faire encore mieux</t>
  </si>
  <si>
    <t>Il produit encore à un rythme intéressant. PP1. Il a fini 27 en 19. Chiffres un peu articifielles</t>
  </si>
  <si>
    <t>William Nylander</t>
  </si>
  <si>
    <t>Jakob Chychrun</t>
  </si>
  <si>
    <t>RW</t>
  </si>
  <si>
    <t>WAS</t>
  </si>
  <si>
    <t>Igor Shesterkin</t>
  </si>
  <si>
    <t>Il a moins tiré l'an dernier, s'il se met à tirer comme avant, il pourrait exploser le 100 points</t>
  </si>
  <si>
    <t>Challenger par Hutson, mais il est le def #1. % de tir très élevé, baisse en vue. Peu blessé depuis 3 ans</t>
  </si>
  <si>
    <t>Martin Necas</t>
  </si>
  <si>
    <t>$0.78M</t>
  </si>
  <si>
    <t>Bowen Byram</t>
  </si>
  <si>
    <t>Tier 5 - 1ère Paire</t>
  </si>
  <si>
    <t>Spencer Knight</t>
  </si>
  <si>
    <t>% de tir un peu élevé, chance élevé. Régression légère possible</t>
  </si>
  <si>
    <t>Matthew Tkachuk</t>
  </si>
  <si>
    <t>Va prendre le PP1. Le potentiel est là. Avec un rôle offensif, il va produire plus c'est certain</t>
  </si>
  <si>
    <t>Dougie Hamilton</t>
  </si>
  <si>
    <t>SUper productif, efficace en PP, stable, constant. Un sure shot, mais souvent blessé</t>
  </si>
  <si>
    <t>$0.97M</t>
  </si>
  <si>
    <t>Brandon Hagel</t>
  </si>
  <si>
    <t>Fini la saison avec 30 en 39. Sans PP1, il ne produira jamais 60 pts</t>
  </si>
  <si>
    <t>Volume utile; solide en catégories.</t>
  </si>
  <si>
    <t>Brandt Clarke</t>
  </si>
  <si>
    <t>Outre son premier quart de saison, il roulait à un rythme de 93 points. Est dans son prime</t>
  </si>
  <si>
    <t>LAK</t>
  </si>
  <si>
    <t>Jake Guentzel</t>
  </si>
  <si>
    <t>Breakout. En progression, joue et tire de plus en plus. Peu de passes secondaires</t>
  </si>
  <si>
    <t>Filip Hronek</t>
  </si>
  <si>
    <t>Ses chiffres sont ultra constants, aucune anomalie. Il va continuer de produire, sure shot</t>
  </si>
  <si>
    <t>Dustin Wolf</t>
  </si>
  <si>
    <t>VAN</t>
  </si>
  <si>
    <t>CGY</t>
  </si>
  <si>
    <t>Clayton Keller</t>
  </si>
  <si>
    <t>$7.74M</t>
  </si>
  <si>
    <t>Joue beaucoup (25 min) et peut prendre le PP1 si Buium n'est pas à la hauteur</t>
  </si>
  <si>
    <t>Régulier depuis deux ans, à son prime, qui sait s'il ne pourrait pas exploser avec Cooley</t>
  </si>
  <si>
    <t>Robert Thomas</t>
  </si>
  <si>
    <t>Vince Dunn</t>
  </si>
  <si>
    <t>SEA</t>
  </si>
  <si>
    <t>$11.50M</t>
  </si>
  <si>
    <t>Lent début de saison, mais a fini avec 34 en 25. % de tirs élevé l'an dernier, régression à prévoir</t>
  </si>
  <si>
    <t>Régression depuis 3 ans. Joue moins, mais toujours 1er PP. Inconstant et souvent blessé</t>
  </si>
  <si>
    <t>Alex Lyon</t>
  </si>
  <si>
    <t>Yaroslav Askarov</t>
  </si>
  <si>
    <t>S.J</t>
  </si>
  <si>
    <t>Aleksander Barkov</t>
  </si>
  <si>
    <t>Seth Jones</t>
  </si>
  <si>
    <t>Va encore être dominant. Quand il joue, il fait plus de 1 ppg. Joueur d'exception</t>
  </si>
  <si>
    <t>Ne tire pas assez, Passes sec élevé et toujours blessé. FLO pourrait avoir un PP1 de 5 attaquants</t>
  </si>
  <si>
    <t>Arturs Silovs</t>
  </si>
  <si>
    <t>Cutter Gauthier</t>
  </si>
  <si>
    <t>Brock Faber</t>
  </si>
  <si>
    <t>UNSIGNED</t>
  </si>
  <si>
    <t xml:space="preserve">Breakout en 2e moitié de saison. Tire énormément. Doit produire plus en PP pour exploser. </t>
  </si>
  <si>
    <t>MOYEN</t>
  </si>
  <si>
    <t>Profite de Hughes. Joue beaucoup. Tout de même risqué, il est essentiel défensivement</t>
  </si>
  <si>
    <t>Volume utile; risque catégories.</t>
  </si>
  <si>
    <t>$6.50M</t>
  </si>
  <si>
    <t>Sebastian Aho</t>
  </si>
  <si>
    <t>Joey Daccord</t>
  </si>
  <si>
    <t>Shea Theodore</t>
  </si>
  <si>
    <t>Sure shot. 1er centre, joue souvent et ses stats sont ultra stable</t>
  </si>
  <si>
    <t>Souvent blessé, Vegas a joué à 5 attaquants en AN l'an dernier.</t>
  </si>
  <si>
    <t>Volume utile; historique rassurant.</t>
  </si>
  <si>
    <t>$0.81M</t>
  </si>
  <si>
    <t>Artemi Panarin</t>
  </si>
  <si>
    <t>Ukko-Pekka Luukkonen</t>
  </si>
  <si>
    <t>Noah Dobson</t>
  </si>
  <si>
    <t>Sa production en PP en moindre, il tire moins qu'è son prime et il a presque 35 ans</t>
  </si>
  <si>
    <t>2e défenseur offensif. Ne tire pas assez pour refaire 50-60 points. % de tirs un peu élevé</t>
  </si>
  <si>
    <t>Alex Debrincat</t>
  </si>
  <si>
    <t>$3.35M</t>
  </si>
  <si>
    <t>Luke Hughes</t>
  </si>
  <si>
    <t>Tier 5 - Risque / profondeur</t>
  </si>
  <si>
    <t>N'a jamais autant tiré ni joué que l'an dernier. Si ça demeure ainsi, il va faire 1ppg. bcp de passes sec.</t>
  </si>
  <si>
    <t>Leo Carlsson</t>
  </si>
  <si>
    <t>% de tirs un peu bas, doit produire plus en PP. N'avait jamais autant tiré au filet</t>
  </si>
  <si>
    <t>$4.50M</t>
  </si>
  <si>
    <t>Bon profil points-only; risque catégories.</t>
  </si>
  <si>
    <t>Philip Broberg</t>
  </si>
  <si>
    <t>Il a commencé 28 en 21 et a fini 15 en 20. Tire beaucoup, continu sa progression</t>
  </si>
  <si>
    <t>Juraj Slafkovsky</t>
  </si>
  <si>
    <t>Il a fini sur le 1er PP et avec 11 en 14. Ne fera pas moins que 35 avec un beau upside</t>
  </si>
  <si>
    <t>Thomas Harley</t>
  </si>
  <si>
    <t>Anton Forsberg</t>
  </si>
  <si>
    <t>A commencé 9 en 20, a fini avec 64 en 62. Doit continuer de tirer au filet</t>
  </si>
  <si>
    <t>Coincé derrière Heiskanen. Ne tire pas assez et pas assez de PP. Équivalent à Dobson</t>
  </si>
  <si>
    <t>Dylan Guenther</t>
  </si>
  <si>
    <t>K'Andre Miller</t>
  </si>
  <si>
    <t>Tristan Jarry</t>
  </si>
  <si>
    <t>Rendu à son breakout, il pourrait exploser. Il doit jouer un peu plus pour atteindre le 1ppg</t>
  </si>
  <si>
    <t>Breakout. Il a pris du gallon l'an dernier. Va continue de progresser. Def #1-2 en Caroline</t>
  </si>
  <si>
    <t>MONTAGE, REFAIRE INTRO</t>
  </si>
  <si>
    <t>Tim Stutzle</t>
  </si>
  <si>
    <t>$3.40M</t>
  </si>
  <si>
    <t>Volume à surveiller; risque catégories.</t>
  </si>
  <si>
    <t>Akira Schmid</t>
  </si>
  <si>
    <t>Stable, joue beaucoup. Pourrait tirer davantage. 1er centre incontesté</t>
  </si>
  <si>
    <t>Thomas Chabot</t>
  </si>
  <si>
    <t>Tier 6 - Top 4 Off</t>
  </si>
  <si>
    <t>Matt Boldy</t>
  </si>
  <si>
    <t>$6.40M</t>
  </si>
  <si>
    <t>AG/AD</t>
  </si>
  <si>
    <t>Volume à surveiller.</t>
  </si>
  <si>
    <t>Joseph Woll</t>
  </si>
  <si>
    <t>% de tirs élevé, passes secondaires élevés. Demeure un stud, mais il a un peu surperformé</t>
  </si>
  <si>
    <t>5e année de régression. Joue beaucoup, 2e PP. Toujours entre un rythme de 45 et 50 points</t>
  </si>
  <si>
    <t>Auston Matthews</t>
  </si>
  <si>
    <t>Victor Hedman</t>
  </si>
  <si>
    <t>$0.85M</t>
  </si>
  <si>
    <t>S'il demeure en santé, il peut revenir à ses grosses saisons.Son % de tir est en baisse depuis 2 ans</t>
  </si>
  <si>
    <t>Connor Ingram</t>
  </si>
  <si>
    <t>Jouera-t-il la saison prochaine? Dans tous les cas, il ne sera plus du premier PP</t>
  </si>
  <si>
    <t>JT Miller</t>
  </si>
  <si>
    <t>Cole Hutson</t>
  </si>
  <si>
    <t>Il a fini 31 en 33, son % de tirs est bas et il a été malchanceux. Il va ''bounce back''</t>
  </si>
  <si>
    <t>Mark Stone</t>
  </si>
  <si>
    <t>Derrière Chychrun, ses points en PP vont en souffir. Ce sera difficile de faire 50 points sans PP</t>
  </si>
  <si>
    <t>$5.00M</t>
  </si>
  <si>
    <t>Alex Nedeljkovic</t>
  </si>
  <si>
    <t>Sam Malinski</t>
  </si>
  <si>
    <t>Toujours blessé, mais performant. Son % de tirs était très élevé l'an dernier, régression à prévoir</t>
  </si>
  <si>
    <t>Sidney Crosby</t>
  </si>
  <si>
    <t>Tire beaucoup, aucun PP. Jouait de plus en plus. N'affronte pas les tops trios</t>
  </si>
  <si>
    <t>$5.38M</t>
  </si>
  <si>
    <t>Casey Desmith</t>
  </si>
  <si>
    <t>% de tir élevé, joue de moins en moins, tire moins. La tendance est qu'il va ralentir</t>
  </si>
  <si>
    <t>Tony DeAngelo</t>
  </si>
  <si>
    <t>Cole Caufield</t>
  </si>
  <si>
    <t>% de tir un peu bas, mais temps en PP minime. Va encore produire, mais attentes basses</t>
  </si>
  <si>
    <t>Jake Allen</t>
  </si>
  <si>
    <t>% de tirs un peu élevé. Va produire, mais 51 buts me semble ambitieux</t>
  </si>
  <si>
    <t>N.J</t>
  </si>
  <si>
    <t>Rasmus Andersson</t>
  </si>
  <si>
    <t>Lucas Raymond</t>
  </si>
  <si>
    <t>$1.80M</t>
  </si>
  <si>
    <t>Thatcher Demko</t>
  </si>
  <si>
    <t>Performant et stable. Mais il ne tire pas assez pour faire 90 points. Il a fini 11 en 19</t>
  </si>
  <si>
    <t>Il a roulé à 0,5ppg avec Vegas l'an dernier.Son % de tir était élevé l'an dernier, régression à prévoir</t>
  </si>
  <si>
    <t>Wyatt Johnston</t>
  </si>
  <si>
    <t>Joonas Korpisalo</t>
  </si>
  <si>
    <t>Morgan Rielly</t>
  </si>
  <si>
    <t>% de tirs un peu élevé. N'a jamais autant joué. Une choix sure</t>
  </si>
  <si>
    <t>Sam Reinhart</t>
  </si>
  <si>
    <t>Sans 1er PP, Rielly va produire moins. Ses chiffres seront près de ceux de 2024-2025</t>
  </si>
  <si>
    <t>David Rittich</t>
  </si>
  <si>
    <t>Joue beaucoup, PP1. Le retour de Barkov va l'aider. Un peu de malchance</t>
  </si>
  <si>
    <t>Brandon Montour</t>
  </si>
  <si>
    <t>Filip Gustavsson</t>
  </si>
  <si>
    <t>Jesper Bratt</t>
  </si>
  <si>
    <t>Pire saison en 5 ans. % de tirs un peu bas et malchance.</t>
  </si>
  <si>
    <t>N'a jamais fait un rythme de plus de 42 outre sa saison de 75. Chiffres stables depuis 3 ans</t>
  </si>
  <si>
    <t>Frederik Andersen</t>
  </si>
  <si>
    <t>Tage Thompson</t>
  </si>
  <si>
    <t>$2.20M</t>
  </si>
  <si>
    <t>AD/C</t>
  </si>
  <si>
    <t>Devon Toews</t>
  </si>
  <si>
    <t xml:space="preserve">Tir beaucoup, a un rôle offensif et est assez stable. </t>
  </si>
  <si>
    <t>Jordan Binnington</t>
  </si>
  <si>
    <t>Will Smith</t>
  </si>
  <si>
    <t>% de tirs bas, tire de moins en mois depuis 5 ans. Ne peut pas faire pire</t>
  </si>
  <si>
    <t>$3.67M</t>
  </si>
  <si>
    <t>Passes secondaires élevés, mais joue avec Celebrini. Progression constante. Pas encore le breakout</t>
  </si>
  <si>
    <t>Dmitry Orlov</t>
  </si>
  <si>
    <t>Tier 7 - Top 4</t>
  </si>
  <si>
    <t>Elvis Merzlikins</t>
  </si>
  <si>
    <t>$1.00M</t>
  </si>
  <si>
    <t>Nikolaj Ehlers</t>
  </si>
  <si>
    <t>S'il garde le PP, il pourrait être payant. % de tir bas</t>
  </si>
  <si>
    <t xml:space="preserve">Rôle 100% offensif. Il a fini 21 en 20 et 40 en 40. </t>
  </si>
  <si>
    <t>Owen Power</t>
  </si>
  <si>
    <t>$0.88M</t>
  </si>
  <si>
    <t>Seth Jarvis</t>
  </si>
  <si>
    <t>AD/AG</t>
  </si>
  <si>
    <t>Jacob Fowler</t>
  </si>
  <si>
    <t>Samuel Ersson</t>
  </si>
  <si>
    <t>Tier 6 - Longshot</t>
  </si>
  <si>
    <t>Tire plus que l'an dernier, stats assez stable. Un peu de malchance, mais rien d'anormal</t>
  </si>
  <si>
    <t>Se voit dans un rôle plus défensif. Le départ de Byram va l'aider. Ne sera jamais un producteur de pts</t>
  </si>
  <si>
    <t>$1.15M</t>
  </si>
  <si>
    <t>Zach Hyman</t>
  </si>
  <si>
    <t>Zeev Buium</t>
  </si>
  <si>
    <t>Il est de retour. % de tir un peu élevé, passes secondaires un peu basses</t>
  </si>
  <si>
    <t>N'a pas été à la hauteur l'an dernier. Il ne tir par assez pour espérer faire beaucoup de points</t>
  </si>
  <si>
    <t>Philipp Grubauer</t>
  </si>
  <si>
    <t>Jordan Spence</t>
  </si>
  <si>
    <t>Matthew Knies</t>
  </si>
  <si>
    <t>LW</t>
  </si>
  <si>
    <t>$3.50M</t>
  </si>
  <si>
    <t>Tire et joue de plus en plus. Avec des blessés, il pourrait être très utile</t>
  </si>
  <si>
    <t>Il progresse à chaque saison depuis 3 ans et c'est son breakout. Si Matthews en santé, il peut exploser</t>
  </si>
  <si>
    <t>Sean Durzi</t>
  </si>
  <si>
    <t>Kirill Marchenko</t>
  </si>
  <si>
    <t>Cam Talbot</t>
  </si>
  <si>
    <t xml:space="preserve">Ne tire pas assez, n'aura pas le PP1 et ne joue pas 20 min. </t>
  </si>
  <si>
    <t>N'a jamais autant tiré, premier trio assuré. Passes secondaires un peu haute. % de tirs un peu bas</t>
  </si>
  <si>
    <t>Mattias Ekholm</t>
  </si>
  <si>
    <t>Filip Forsberg</t>
  </si>
  <si>
    <t>$2.25M</t>
  </si>
  <si>
    <t>Anthony Stolarz</t>
  </si>
  <si>
    <t>Tire moins qu'à son prime, constant depuis 2 ans. peu de passes secondaires, % de tirs élevé</t>
  </si>
  <si>
    <t>Encore très utilisé. Va chercher ses points en jouant avec Bouchard. Passe sec élevés</t>
  </si>
  <si>
    <t>Daniil Tarasov</t>
  </si>
  <si>
    <t>Alexander Nikishin</t>
  </si>
  <si>
    <t>Adrian Kempe</t>
  </si>
  <si>
    <t>$2.50M</t>
  </si>
  <si>
    <t>Coincé derrière Miller, Slavin et Ghost. Ne tire pas assez pour faire plus que 40</t>
  </si>
  <si>
    <t>Régulier, stats stables et constant. Un sure shot</t>
  </si>
  <si>
    <t>Darnell Nurse</t>
  </si>
  <si>
    <t>Troy Terry</t>
  </si>
  <si>
    <t>Adin Hill</t>
  </si>
  <si>
    <t>N'a jamais aussi peu tirer, pourrait rebondir légèrement. Va jouer beaucoup</t>
  </si>
  <si>
    <t>Justin Faulk</t>
  </si>
  <si>
    <t>Constant, il est de retour comme joueur offensif. Manque de production en PP</t>
  </si>
  <si>
    <t>$4.00M</t>
  </si>
  <si>
    <t>Sergei Murashov</t>
  </si>
  <si>
    <t>Logan Cooley</t>
  </si>
  <si>
    <t>Kevin Lankinen</t>
  </si>
  <si>
    <t>8 en 17 a Détroit. Production assez stable. ASP est une menace.. % de tirs élevé</t>
  </si>
  <si>
    <t>$0.86M</t>
  </si>
  <si>
    <t>Kris Letang</t>
  </si>
  <si>
    <t>Rendu à son breakout, il pourrait exploser. Il doit tirer davantage cependant pour éclore</t>
  </si>
  <si>
    <t>Mika Zibanejad</t>
  </si>
  <si>
    <t xml:space="preserve">A ralentit, ne tire pas assez pour revenir au top. N'a plus le PP1. </t>
  </si>
  <si>
    <t>Devin Cooley</t>
  </si>
  <si>
    <t>$5.40M</t>
  </si>
  <si>
    <t>Zayne Parekh</t>
  </si>
  <si>
    <t>Jouait plus que jamais. % de tirs un peu élevé. Petite régression à prévoir</t>
  </si>
  <si>
    <t>$1.45M</t>
  </si>
  <si>
    <t>Le PP1 est à lui. Doit tirer davantage pour produire. Attentes basses, CGY n'est pas bon</t>
  </si>
  <si>
    <t>Andrei Svechnikov</t>
  </si>
  <si>
    <t>Justus Annunen</t>
  </si>
  <si>
    <t>Cam Fowler</t>
  </si>
  <si>
    <t xml:space="preserve">A commencé 11 en 20, il a fini 59 en 59. Tire plus, 1er trio et dans son prime. </t>
  </si>
  <si>
    <t>N'est plus une option offensive. Jouait de moins en moins. Tire peu, mais passes secondaires basses</t>
  </si>
  <si>
    <t>$5.90M</t>
  </si>
  <si>
    <t>John Marino</t>
  </si>
  <si>
    <t>Mathew Barzal</t>
  </si>
  <si>
    <t>$6.25M</t>
  </si>
  <si>
    <t>Bon def #3, va aller chercher ses 30 points, voire 35.</t>
  </si>
  <si>
    <t>Eric Comrie</t>
  </si>
  <si>
    <t>Ne tir pas assez pour faire plus que 80. Stats assez stables</t>
  </si>
  <si>
    <t>Dylan Larkin</t>
  </si>
  <si>
    <t>Simon Nemec</t>
  </si>
  <si>
    <t>Dylan Garand</t>
  </si>
  <si>
    <t>Samuel Montembeault</t>
  </si>
  <si>
    <t>% de tirs élevé. N'a eu que 1 points en plus de 70 min de PP. Pourrait être décevant pour les poolers</t>
  </si>
  <si>
    <t>Passes secondaires élevés. Mais il est toujours constant. À suivre s'il y a une échange</t>
  </si>
  <si>
    <t>Mackenzie Weegar</t>
  </si>
  <si>
    <t>Nico Hischier</t>
  </si>
  <si>
    <t>Jonas Johansson</t>
  </si>
  <si>
    <t>Drew Commesso</t>
  </si>
  <si>
    <t>Officiellement #2, peu de PP et beaucoup de DN. Pourrait faire mieux que 30, mais</t>
  </si>
  <si>
    <t>% de tirs un peu bas, malchance. Il a fini 21 en 20</t>
  </si>
  <si>
    <t>Ryan Shea</t>
  </si>
  <si>
    <t>$1.21M</t>
  </si>
  <si>
    <t>Brady Tkachuk</t>
  </si>
  <si>
    <t>Charlie Lindgren</t>
  </si>
  <si>
    <t>Nico Daws</t>
  </si>
  <si>
    <t>% de tirs élevé, va être 4e défenseurs à Edmonton. Pourrait faire son 30-35pts, sans plus</t>
  </si>
  <si>
    <t>Simon Edvinsson</t>
  </si>
  <si>
    <t>Passes secondaires basses. Pas une vedette du PP. Il a fini 40 en 40</t>
  </si>
  <si>
    <t>Rôle plus défensif, difficile de le voir exploser. Surtout avec Faulk, ASP et Seider devant</t>
  </si>
  <si>
    <t>Travis Konecny</t>
  </si>
  <si>
    <t>Tier 5 - Top Line</t>
  </si>
  <si>
    <t>Jamie Drysdale</t>
  </si>
  <si>
    <t>PP1 avec succès limité. Doit tirer davantage. Beaucoup de passes secondaires</t>
  </si>
  <si>
    <t>Marque moins, mais passe plus. A eu moins de MOJ offensives. 0,9ppg semble difficile</t>
  </si>
  <si>
    <t>Travis Sanheim</t>
  </si>
  <si>
    <t>Dylan Holloway</t>
  </si>
  <si>
    <t>Ville Husso</t>
  </si>
  <si>
    <t>$2.60M</t>
  </si>
  <si>
    <t>Peu de PP et % de tirs très élevé. Devrait régresser légèrement</t>
  </si>
  <si>
    <t>Brent Burns</t>
  </si>
  <si>
    <t>Année de son breakout, a fini la saison avec 42 en 38. Beaucoup de passes secondaires</t>
  </si>
  <si>
    <t>Roope Hintz</t>
  </si>
  <si>
    <t>Tire encore beaucoup. Joue moins, mais est bien protégé. Il peut encore produire décemment</t>
  </si>
  <si>
    <t>Ivan Provorov</t>
  </si>
  <si>
    <t>James Reimer</t>
  </si>
  <si>
    <t>Rendu 2C. % de tir bas. Stats relativement stable</t>
  </si>
  <si>
    <t>$1.05M</t>
  </si>
  <si>
    <t xml:space="preserve">Ultra constant. Va faire ses points. </t>
  </si>
  <si>
    <t>Gabriel Vilardi</t>
  </si>
  <si>
    <t>Leevi Merilainen</t>
  </si>
  <si>
    <t>Mattias Samuelsson</t>
  </si>
  <si>
    <t>$0.83M</t>
  </si>
  <si>
    <t>Revient de deux saisons avec un rythme de 70 points. Il est à son prime et joue sur un premier trio.</t>
  </si>
  <si>
    <t>Récolte les points en jouant avec Dahlin. N'est pas un def offensif. Ne pas s'attendre à 40 encore</t>
  </si>
  <si>
    <t>Bryan Rust</t>
  </si>
  <si>
    <t>Dennis Hildeby</t>
  </si>
  <si>
    <t>Charles-Edouard D'Astous</t>
  </si>
  <si>
    <t xml:space="preserve">Stable depuis 3 ans, mais il a 34 ans. Trio stable avec Crosby et Rakell. </t>
  </si>
  <si>
    <t>$1.25M</t>
  </si>
  <si>
    <t>Beckett Sennecke</t>
  </si>
  <si>
    <t>Production inconstante, mais statistique somme toute soutenable. Va aller chercher 30-35</t>
  </si>
  <si>
    <t>Vitek Vanecek</t>
  </si>
  <si>
    <t>Noah Hanifin</t>
  </si>
  <si>
    <t>Tire beaucoup, devrait voir plus de PP. Il a ralentit en fin de saison, mais sinon son rythme est stable</t>
  </si>
  <si>
    <t>Officiellement 3e défenseur. Sa production pourrait chuter davantage, il a fini 13 en 42</t>
  </si>
  <si>
    <t>Jimmy Snuggerud</t>
  </si>
  <si>
    <t>Neil Pionk</t>
  </si>
  <si>
    <t>Il a fini 24 en 20. A fini la saison sur le 1er trio. TIr beaucoup au filet.</t>
  </si>
  <si>
    <t>Ses deux dernières saisons sont à l'opposées, la vérité se trouve entre les deux.</t>
  </si>
  <si>
    <t>Pavel Dorofeyev</t>
  </si>
  <si>
    <t>Gustav Forsling</t>
  </si>
  <si>
    <t>$0.84M</t>
  </si>
  <si>
    <t>So potentiel offensif est limité. % de tirs bas. Devrait faire son 30 points</t>
  </si>
  <si>
    <t>Breakout, tire énormément et risque de jouer davantage. Pourrait continuer sa progression</t>
  </si>
  <si>
    <t>Aaron Ekblad</t>
  </si>
  <si>
    <t>Adam Fantilli</t>
  </si>
  <si>
    <t>Inconstant. Utilisation en PP en dents de scie. Peu produire par séquence</t>
  </si>
  <si>
    <t>Jake Walman</t>
  </si>
  <si>
    <t>$3.15M</t>
  </si>
  <si>
    <t>Breakout! Il a fini 33 en 41. Est le centre #1 et progression constante. % de tirs un peu bas</t>
  </si>
  <si>
    <t>Malchance et passes sec un peu basses. Il a fini 10 en 39. Le départ de Nurse va l'aider</t>
  </si>
  <si>
    <t>Mats Zuccarrello</t>
  </si>
  <si>
    <t>Mike Matheson</t>
  </si>
  <si>
    <t>Clay Stevenson</t>
  </si>
  <si>
    <t>Productif malgré l'âge. Pourrait jouer moins. Il a fini 35 en 36</t>
  </si>
  <si>
    <t xml:space="preserve">Aucun PP. Il a fini 5 en 20. Commence 38% en zone offensive. </t>
  </si>
  <si>
    <t>Denton Mateychuk</t>
  </si>
  <si>
    <t>Tier 8 - Top 6</t>
  </si>
  <si>
    <t>Ryan O'Reilly</t>
  </si>
  <si>
    <t>$3.00M</t>
  </si>
  <si>
    <t>% de tirs élevé, tire peu. Jouait de moins en moins. Il a fait 50% de ses points dans le 2e quart</t>
  </si>
  <si>
    <t>Joue beaucoup, bcp de PP, % de tirs un peu élevé. peu de passes secondaires</t>
  </si>
  <si>
    <t>Petr Mrazek</t>
  </si>
  <si>
    <t>Logan Mailloux</t>
  </si>
  <si>
    <t>Dylan Strome</t>
  </si>
  <si>
    <t>Jouait plus de 21 min lors des 20 derniers matchs</t>
  </si>
  <si>
    <t>Il n'est pas un 1C. Il n'a qu'une seule saison de 1ppg en carrière. Attente réaliste, c'est 60-70 pts</t>
  </si>
  <si>
    <t>Damon Severson</t>
  </si>
  <si>
    <t>Alex Tuch</t>
  </si>
  <si>
    <t>Volume à surveiller; solide en catégories.</t>
  </si>
  <si>
    <t>Tire peu, peu de PP. Va faire ses points sans plus</t>
  </si>
  <si>
    <t>Hampus Lindholm</t>
  </si>
  <si>
    <t>N'aura pas beaucoup de PP et la profondeur des Caps va lui nuire. Pourrait décevoir.</t>
  </si>
  <si>
    <t>Est un def de 30-35pts. Ses stats sont stables, sont temps de jeu aussi.</t>
  </si>
  <si>
    <t>Matt Murray</t>
  </si>
  <si>
    <t>Carter Yakemchuk</t>
  </si>
  <si>
    <t>Patrick Kane</t>
  </si>
  <si>
    <t>S'il joue LNH, il pourrait produire un peu. Attentes modérées</t>
  </si>
  <si>
    <t>Michael Dipietro</t>
  </si>
  <si>
    <t>Tire encore beaucoup, toujours bon sur le PP. % de tirs un peu bas. Encore très efficace</t>
  </si>
  <si>
    <t>JJ Moser</t>
  </si>
  <si>
    <t>Ivan Demidov</t>
  </si>
  <si>
    <t>Va aller chercher son 30 points. Joue beaucoup de minutes avec un def offensif (Carlson?)</t>
  </si>
  <si>
    <t>Hunter Shepard</t>
  </si>
  <si>
    <t>Jacob Trouba</t>
  </si>
  <si>
    <t>Jouait de plus en plus et tirait de plus en plus. La grande éclosion va attendre encore 1 an.</t>
  </si>
  <si>
    <t>Va retrouver une rôle plus défensif, mais va jouer beaucoup. %tirs élevé</t>
  </si>
  <si>
    <t>Matvei Michkov</t>
  </si>
  <si>
    <t>Marcus Hogberg</t>
  </si>
  <si>
    <t>Oliver Ekman-Larsson</t>
  </si>
  <si>
    <t>Avec Raddysh et Rielly devant lui, OEL devient un 3-4 def. Moins de AN = moins de points</t>
  </si>
  <si>
    <t>Il a fini 20 en 21. Il a fait 50 points malgré un temps de jeu limité. Breakout à partir de la mi-saison</t>
  </si>
  <si>
    <t>Vladislav Gavrikov</t>
  </si>
  <si>
    <t>Laurent Brossoit</t>
  </si>
  <si>
    <t>John Tavares</t>
  </si>
  <si>
    <t>% de tir élevé. Joue avec Fox, donc va faire des points, mais son rôle est défensif</t>
  </si>
  <si>
    <t>Tristan Luneau</t>
  </si>
  <si>
    <t>Jouera-t-il encore en AN avec McKenna et Raddysh dans le décor? Sa production en dépend</t>
  </si>
  <si>
    <t>Sebastian Cossa</t>
  </si>
  <si>
    <t>Brayden Point</t>
  </si>
  <si>
    <t>Le potentiel est là. La défensive des Ducks est ordianire, il va pouvoir jouer</t>
  </si>
  <si>
    <t>Mason Lohrei</t>
  </si>
  <si>
    <t>Son % de tirs était bas par rapport à sa moyenne, mais il a été chanceux. Les attentes ont changé</t>
  </si>
  <si>
    <t>Rickard Rakell</t>
  </si>
  <si>
    <t>% de tirs un peu élevé. N'a pas le plafond offensif espéré</t>
  </si>
  <si>
    <t>C/AG</t>
  </si>
  <si>
    <t>Cam York</t>
  </si>
  <si>
    <t>Encore productif et assez stable. Joue avec Crosby, a beaucoup de temps de jeu.</t>
  </si>
  <si>
    <t>Trevor Zegras</t>
  </si>
  <si>
    <t>Innefficace en PP, tire peu et comme souvernt en zone défensive. Upside très limité</t>
  </si>
  <si>
    <t>Artem Zub</t>
  </si>
  <si>
    <t>Chiffres réalistes, option offensive de premier plan. Joue beaucoup, mais doit éviter les blessures</t>
  </si>
  <si>
    <t>Défenseur défensif. Joue assez pour amasser 30 points, sans plus</t>
  </si>
  <si>
    <t>Drake Batherson</t>
  </si>
  <si>
    <t>Esa Lindell</t>
  </si>
  <si>
    <t>4e année de progression. doit tirer plus. % de tirs élevé, beaucoup de passes secondaires</t>
  </si>
  <si>
    <t>30 points et son maximum. Aucunement un rôle offensif</t>
  </si>
  <si>
    <t>Nick Schmaltz</t>
  </si>
  <si>
    <t>Brady Skjei</t>
  </si>
  <si>
    <t>Joueur de séquence, il peut difficilement faire pire à moins de blessures. Il jour sur un top6 très offensif</t>
  </si>
  <si>
    <t xml:space="preserve">N'est pas un défenseur offensif. Joue peu en PP et beaucoup en IN. </t>
  </si>
  <si>
    <t>Drew Doughty</t>
  </si>
  <si>
    <t>Alexis Lafrenière</t>
  </si>
  <si>
    <t>N'est plus sur le PP1, ne tire plus et joue de moins en moins. Il a ralenti</t>
  </si>
  <si>
    <t>Sam Rinzel</t>
  </si>
  <si>
    <t>Tier 9 - Longshot</t>
  </si>
  <si>
    <t>N'a pas été à la hauteur. 1 seul point en PP malgré plus de 108 minutes. À Éviter</t>
  </si>
  <si>
    <t>A fini 20 en 21 et 34 en 39. Tire de plus en plus et joue de plus en plus. Progression</t>
  </si>
  <si>
    <t>Ryan Ufko</t>
  </si>
  <si>
    <t>Ryan Nugent-Hopkins</t>
  </si>
  <si>
    <t>Tier 6 - Top6+</t>
  </si>
  <si>
    <t>AG/C</t>
  </si>
  <si>
    <t>Tout dépend de Josi. % de tirs ultra élevé. Jouait peu, mais beauocup en PP quand Josi absent.</t>
  </si>
  <si>
    <t>Tom Willander</t>
  </si>
  <si>
    <t>Ne tire pas assez pour refaire 80 points. Va jouer sur le top6, mais Savoie peut-il le déloger du PP?</t>
  </si>
  <si>
    <t>Evgeni Malkin</t>
  </si>
  <si>
    <t>Beau sleeper, il a pris du gallon l'an dernier. Pourrait jouer beaucoup et récolter 30 points</t>
  </si>
  <si>
    <t>Josh Manson</t>
  </si>
  <si>
    <t>Est toujours blessé. Est-il de retour ou de la chance? % de tir un peu élevé</t>
  </si>
  <si>
    <t>Matt Duchene</t>
  </si>
  <si>
    <t>Dérolument défensif. N'aura jamais le déploiment pour produire</t>
  </si>
  <si>
    <t>Rasmus Sandin</t>
  </si>
  <si>
    <t>A moins tiré, mais passes sec basses. Ne tire pas assez pour faire plus de 70</t>
  </si>
  <si>
    <t>Pierre-Luc Dubois</t>
  </si>
  <si>
    <t>Samuel Girard</t>
  </si>
  <si>
    <t>Va avoir d'excellents ailliers. Il a fini la saison avec 19 en 23. Beau dark horse/sleeper</t>
  </si>
  <si>
    <t>A été 7 en 20 avec PIT. Ne tire pas assez pour produire plus de 40. PP2 potentiel</t>
  </si>
  <si>
    <t>Yegor Chinakhov</t>
  </si>
  <si>
    <t>Artyom Levshunov</t>
  </si>
  <si>
    <t>Commencé 20 en 40, fini 4 en 28. Peu productif malgré bcp de PP. Passes sec élevés, % de tirs bas</t>
  </si>
  <si>
    <t>A été 36 en 43 avec PIT et a fini avec 22 en 20. Tire beaucoup et va jouer sur le top6</t>
  </si>
  <si>
    <t>Axel Sandin-Pellikka</t>
  </si>
  <si>
    <t>William Eklund</t>
  </si>
  <si>
    <t>% de tirs élevé, passes sec élevé et présence de Faulk. Il va décevoir, les attentes sont trop hautes</t>
  </si>
  <si>
    <t>A fini l'année sur le PP2 et jouait avec Weenberg et Toffoli. % de tirs bas, va progresser</t>
  </si>
  <si>
    <t>Jared Spurgeon</t>
  </si>
  <si>
    <t>Luke Evangelista</t>
  </si>
  <si>
    <t>A frappé son mur, n'est plus une option offensive</t>
  </si>
  <si>
    <t>Olen Zellweger</t>
  </si>
  <si>
    <t>Doit jouer plus de PP, % de tirs ultra bas. Il peut exploser</t>
  </si>
  <si>
    <t>Morgan Geekie</t>
  </si>
  <si>
    <t xml:space="preserve">N'est pas le def offensif espéré. Pourrait ne jamais éclore réellement. </t>
  </si>
  <si>
    <t>Ryker Evans</t>
  </si>
  <si>
    <t>% de tirs élevé, mais tire un peu plus et joue plus. Passes sec un peu élevés. Il a fini 27 en 39</t>
  </si>
  <si>
    <t>Ne tire passez assez et % de tirs très élevé. Doit jouer plus en PP, mais c'est impossible</t>
  </si>
  <si>
    <t>Sean Walker</t>
  </si>
  <si>
    <t>Quinton Byfield</t>
  </si>
  <si>
    <t>Plafond limité. Il n'a jamais autant tiré que l'an dernier. Ne peu pas vraiment faire mieux</t>
  </si>
  <si>
    <t xml:space="preserve">Breakout dans 60 matchs. Tire plus, joue plus et passe secondaires basses. Hausse à prévoir </t>
  </si>
  <si>
    <t>Sam Dickinson</t>
  </si>
  <si>
    <t>Viktor Arvidsson</t>
  </si>
  <si>
    <t>Jouait de plus en plus. Était protégé et beaucoup de passes secondaires. On doit être patient</t>
  </si>
  <si>
    <t>A bien fait malgré peu de temps de glace. S'il joue plus, il va produire plus. Va jouer sur le top6</t>
  </si>
  <si>
    <t>Valeri Nichushkin</t>
  </si>
  <si>
    <t>Pavel Mintyukov</t>
  </si>
  <si>
    <t>Tier 10 - Hail Mary</t>
  </si>
  <si>
    <t>Ralentit depuis 3 ans, tire de moins en moins. Passes sec élevés, % de tirs un peu bas</t>
  </si>
  <si>
    <t>% de tirs élevés, ne tire pas, passes sec élevés. Il n'est pas le def espéré.</t>
  </si>
  <si>
    <t>JJ Peterka</t>
  </si>
  <si>
    <t>Oliver Bonk</t>
  </si>
  <si>
    <t>Jouait moins et peu de PP. Il va rebondir à Boston. Peut exploser s'il est avec Pastrnak</t>
  </si>
  <si>
    <t>Pourrait jouer toute la saison, mais son apport offensif est limité.</t>
  </si>
  <si>
    <t>Vincent Trocheck</t>
  </si>
  <si>
    <t>Uvis Balinskis</t>
  </si>
  <si>
    <t>Belle histoire l'an dernier, mais pas assez offensif pour amasser des points</t>
  </si>
  <si>
    <t>Il va dépendre de ses ailiers et de son déploiement, mais il va jouer sur le top6 avec de bons joueurs</t>
  </si>
  <si>
    <t>Chase Reid</t>
  </si>
  <si>
    <t>Jared McCann</t>
  </si>
  <si>
    <t>Tire et joue un peu moins, mais à un rôle ultra offensif</t>
  </si>
  <si>
    <t>Ne jouera pas LNH et si oui, ce ne sera pas sur un PP1.</t>
  </si>
  <si>
    <t>Zach Benson</t>
  </si>
  <si>
    <t>Breakout! Constant, manque de production en PP, doit jouer davantage. Doit tirer plus</t>
  </si>
  <si>
    <t>Ivan Barbashev</t>
  </si>
  <si>
    <t>Vient de connaitre deux saisons semblables. Le départ de Dorofeyev pourrait l'aider</t>
  </si>
  <si>
    <t>Brock Nelson</t>
  </si>
  <si>
    <t>Passes sec un peu élevés. Stable, 2-3C et beaucoup de temps de glace</t>
  </si>
  <si>
    <t>Joel Eriksson-Ek</t>
  </si>
  <si>
    <t>Joue beaucoup, mais produit pas tant. Pas assez de MOJ en zone offensive pur faire 65-70 pts</t>
  </si>
  <si>
    <t>Bo Horvat</t>
  </si>
  <si>
    <t>A commencé 25 en 21, ensuite 32 en 47. Beaucoup de passes sec, mais tire beaucoup</t>
  </si>
  <si>
    <t>Nazem Kadri</t>
  </si>
  <si>
    <t>% de tirs bas, mais aura moins de glace qu'èa CGY. Régression depuis 3 ans.</t>
  </si>
  <si>
    <t>Anthony Cirelli</t>
  </si>
  <si>
    <t>Assez constant, mais ne peut pas faire plus que 60. Il est au maximum statistique</t>
  </si>
  <si>
    <t>Mason Mctavish</t>
  </si>
  <si>
    <t>TIre beaucoup au filet. Plus il a du temps de jeu, plus il produit.</t>
  </si>
  <si>
    <t>Porter Martone</t>
  </si>
  <si>
    <t>Tire énormément, 1er trio, aucune passe secondaire. Sérieux candidat au Calder</t>
  </si>
  <si>
    <t>Jackson Blake</t>
  </si>
  <si>
    <t xml:space="preserve">Breakout en 2e moitié de saison. Tire assez, joue assez, stats stable. </t>
  </si>
  <si>
    <t>Steven Stamkos</t>
  </si>
  <si>
    <t>A commencé 5 en 20 et a fini 61 en 62. Tire plus, bcp de passes sec et % de tirs élevé. Régression</t>
  </si>
  <si>
    <t>Mikael Granlund</t>
  </si>
  <si>
    <t>% de tirs élevé, mais joue encore beaucoup. Un peu de malchance</t>
  </si>
  <si>
    <t>Brad Marchand</t>
  </si>
  <si>
    <t>% de tir élevés, passes sec élevés et va moins jouer avec le retour de Barkov et Brady. Régression</t>
  </si>
  <si>
    <t>Gabriel Landeskog</t>
  </si>
  <si>
    <t>Tier 7 - Top6</t>
  </si>
  <si>
    <t>A fini 29 en 40. % de tirs bas, passes secondaires élevés.</t>
  </si>
  <si>
    <t>Aliaksei Protas</t>
  </si>
  <si>
    <t>Sans PP, il va être difficile pour lui de faire plus de 60. La profondeur des Caps va lui nuire</t>
  </si>
  <si>
    <t>Anton Frondell</t>
  </si>
  <si>
    <t xml:space="preserve">A beaucoup tiré, % de tirs bas. Passes sec un peu haute. Le potentiel est là. </t>
  </si>
  <si>
    <t>Jack Quinn</t>
  </si>
  <si>
    <t>Il a commencé 8 en 20, il a fini 43 en 62. Tirait de plus en plus et assez de PP. % de tirs un peu bas</t>
  </si>
  <si>
    <t>Frank Nazar</t>
  </si>
  <si>
    <t>Il a été assez constant. % de tirs un peu bas. Il lui reste encore 1 an avant son éclosion</t>
  </si>
  <si>
    <t>Mason Marchment</t>
  </si>
  <si>
    <t>Tout dépend s'il joue avec Celebrini ou sur le 2e trio. Produit bien sur un top6</t>
  </si>
  <si>
    <t>Kevin Fiala</t>
  </si>
  <si>
    <t>Il a ralentit et va revenir d'une importante blessure. Maintenant sur le 2e trio. Régression possible</t>
  </si>
  <si>
    <t>Bobby McMann</t>
  </si>
  <si>
    <t>Il a fini avec 14 en 18 avec Seattle. Il tir beaucoup. Peu de passes secondaires</t>
  </si>
  <si>
    <t>Marco Rossi</t>
  </si>
  <si>
    <t xml:space="preserve">VAN </t>
  </si>
  <si>
    <t>Son volume de lancers est trop faible pour espérer plus que 60pts.</t>
  </si>
  <si>
    <t>Artturi Lehkonen</t>
  </si>
  <si>
    <t>Assez stable. Passes secondaires un peu basse.</t>
  </si>
  <si>
    <t>Ben Kindel</t>
  </si>
  <si>
    <t>Passes secondaires très basses. S'il joue plus, il va produire davantage. Pourrait être 2C</t>
  </si>
  <si>
    <t>Gabe Perreault</t>
  </si>
  <si>
    <t>A fini 16 en 21 après le départ de Panarin. Il va être top6 et PP1</t>
  </si>
  <si>
    <t>Mavrik Bourque</t>
  </si>
  <si>
    <t>Il a fini 27 en 40, jouait de plus en plus, pourrait avoir plus de PP. Progression constante</t>
  </si>
  <si>
    <t>Connor McMichael</t>
  </si>
  <si>
    <t>% de tirs bas et passes secondaires basses, progression en vue</t>
  </si>
  <si>
    <t>Josh Norris</t>
  </si>
  <si>
    <t>% de tirs élevé, chanceux et toujours blessé. Petite régression en vue</t>
  </si>
  <si>
    <t>Pavel Zacha</t>
  </si>
  <si>
    <t>% de tirs ultra élevé. Joue moins, tire peu. Régression attendue</t>
  </si>
  <si>
    <t>Tyler Seguin</t>
  </si>
  <si>
    <t>N'a vraiment pas tiré beauocup. % de tir élevé, mais passes sec basses</t>
  </si>
  <si>
    <t>Tomas Hertl</t>
  </si>
  <si>
    <t xml:space="preserve">Il a frappé son mur en finissant avec 4 points en 19 matchs. </t>
  </si>
  <si>
    <t>Tom Wilson</t>
  </si>
  <si>
    <t>Va écopé de la profondeur offensive des Caps. Pourrait avoir un rôle plus de 3e trio que de 1er trio</t>
  </si>
  <si>
    <t>Elias Pettersson</t>
  </si>
  <si>
    <t>Il n'a que 31 points à ses 52 derniers match (sans Hughes), un rythme de 50 points</t>
  </si>
  <si>
    <t>Matt Coronato</t>
  </si>
  <si>
    <t xml:space="preserve">Breakout! % de tirs bas, il a fini 15 en 20. Tire beaucoup. </t>
  </si>
  <si>
    <t>Dylan Cozens</t>
  </si>
  <si>
    <t>2e centre, tire beaucoup. Beaucoup de passes secondaires. A fini l'année 11 en 21.</t>
  </si>
  <si>
    <t>Alex Ovechkin</t>
  </si>
  <si>
    <t>Il est un spécialiste de l'AN (plus de 4 min). Son temps de jeu n'a jamais été aussi bas</t>
  </si>
  <si>
    <t>Matty Beniers</t>
  </si>
  <si>
    <t>Ne tire pas assez pour exploser, mais progresse depuis 3 ans. Chiffres très constants</t>
  </si>
  <si>
    <t>Jordan Kyrou</t>
  </si>
  <si>
    <t>Il se retrouve derrière Tuch et Wilson. Tout le monde ne peut pas faire 65pts, il va être celui qui écope</t>
  </si>
  <si>
    <t>Jordan Eberle</t>
  </si>
  <si>
    <t>Joue encore beaucoup, tire suffisamment. Beaucoup de PP et peu de passes secondaires</t>
  </si>
  <si>
    <t>Josh Doan</t>
  </si>
  <si>
    <t>Tier 8 - Top9</t>
  </si>
  <si>
    <t>Constant, stats trèes normal. S'il tire plus, il va produire davamntage.</t>
  </si>
  <si>
    <t>Shane Pinto</t>
  </si>
  <si>
    <t>Joue énormément. Rôle plus défensif, ce qui limite son plafond. Stable</t>
  </si>
  <si>
    <t>Gavin Mckenna</t>
  </si>
  <si>
    <t>Serait-il comme Jack Hughes? Il pourrait faire 35 points qu'on ne serait pas surpris</t>
  </si>
  <si>
    <t>Owen Tippett</t>
  </si>
  <si>
    <t>Tire beaucoup, mais peu de MOJ en zone offensive. Doit jouer sur le top6</t>
  </si>
  <si>
    <t>Timo Meier</t>
  </si>
  <si>
    <t>En régression depuis 5 ans. TIre encore beaucoup, mais a été malchanceux</t>
  </si>
  <si>
    <t>Tyler Bertuzzi</t>
  </si>
  <si>
    <t>% de tirs un peu élevé, passes sec un peu élevé. Petite régression en vue</t>
  </si>
  <si>
    <t>Logan Stankoven</t>
  </si>
  <si>
    <t>Team</t>
  </si>
  <si>
    <t>Jouait de plus en plus. Tirait de plus en plus. Il a fini 16 en 19. Progression à prévoir</t>
  </si>
  <si>
    <t>Joueur</t>
  </si>
  <si>
    <t>Lance</t>
  </si>
  <si>
    <t>Charlie Coyle</t>
  </si>
  <si>
    <t>PTS/G</t>
  </si>
  <si>
    <t>PACE 84</t>
  </si>
  <si>
    <t>SOG</t>
  </si>
  <si>
    <t>SOG/G</t>
  </si>
  <si>
    <t>S%</t>
  </si>
  <si>
    <t>PPP</t>
  </si>
  <si>
    <t>PPP/GP</t>
  </si>
  <si>
    <t>PPTOI</t>
  </si>
  <si>
    <t>PP%</t>
  </si>
  <si>
    <t>TOI</t>
  </si>
  <si>
    <t>PIM</t>
  </si>
  <si>
    <t>HITS</t>
  </si>
  <si>
    <t>HITS/GP</t>
  </si>
  <si>
    <t>BLKS</t>
  </si>
  <si>
    <t>BLKS/GP</t>
  </si>
  <si>
    <t>FOW</t>
  </si>
  <si>
    <t>FOW%</t>
  </si>
  <si>
    <t>Passes sec basses, Commence 37% du temps en zone adverse. Régression à venir dû à son utilisation</t>
  </si>
  <si>
    <t>SHP</t>
  </si>
  <si>
    <t>SH%</t>
  </si>
  <si>
    <t>Chris Kreider</t>
  </si>
  <si>
    <t>Elias Lindholm</t>
  </si>
  <si>
    <t>03:15</t>
  </si>
  <si>
    <t>17:03</t>
  </si>
  <si>
    <t>Ne tire pas assez, Il a fini 22 en 37. % de tirs un peu élevé. Régression en vue</t>
  </si>
  <si>
    <t>Carter Verhaeghe</t>
  </si>
  <si>
    <t>03:28</t>
  </si>
  <si>
    <t>19:09</t>
  </si>
  <si>
    <t xml:space="preserve">Possible réduction du PP. Tire beaucoup moins. L'arrivée de Brady va lui faire mal. </t>
  </si>
  <si>
    <t>$4.20M</t>
  </si>
  <si>
    <t>Christian Dvorak</t>
  </si>
  <si>
    <t>R</t>
  </si>
  <si>
    <t>03:12</t>
  </si>
  <si>
    <t>18:21</t>
  </si>
  <si>
    <t>A atteint un sommet dans les tirs, le temps de jeu, les MOJ offensives. Pourrait répéter sa saison</t>
  </si>
  <si>
    <t>$7.00M</t>
  </si>
  <si>
    <t>Pavel Buchnevich</t>
  </si>
  <si>
    <t>03:11</t>
  </si>
  <si>
    <t>19:10</t>
  </si>
  <si>
    <t xml:space="preserve">Ne joue plus assez pour espérer plus. Régression constante depuis 4 ans. </t>
  </si>
  <si>
    <t>Jason Zucker</t>
  </si>
  <si>
    <t>02:21</t>
  </si>
  <si>
    <t>17:27</t>
  </si>
  <si>
    <t>% de tirs élevé, passes sec élevé et joue moins de 16 min. Régression en vue</t>
  </si>
  <si>
    <t>$4.04M</t>
  </si>
  <si>
    <t>Brock Boeser</t>
  </si>
  <si>
    <t>02:48</t>
  </si>
  <si>
    <t>17:15</t>
  </si>
  <si>
    <t>$1.90M</t>
  </si>
  <si>
    <t>Roger McQueen</t>
  </si>
  <si>
    <t>Il a fini 30 en 36, mais a tout de même connu sa pire saison depuis sa saison recrue...</t>
  </si>
  <si>
    <t>Sam Bennett</t>
  </si>
  <si>
    <t>Marat Khusnutdinov</t>
  </si>
  <si>
    <t>00:38</t>
  </si>
  <si>
    <t>14:30</t>
  </si>
  <si>
    <t>Va jouer moins, PP1 est presque impossble. Retrouve le 2e ou même 3e trio. Régression</t>
  </si>
  <si>
    <t>$0.93M</t>
  </si>
  <si>
    <t>Fraser Minten</t>
  </si>
  <si>
    <t>Taylor Hall</t>
  </si>
  <si>
    <t>00:58</t>
  </si>
  <si>
    <t>15:33</t>
  </si>
  <si>
    <t>$0.82M</t>
  </si>
  <si>
    <t>Tirait moins, jouait moins de 15 min et peu de PP. Pourrait régresser.</t>
  </si>
  <si>
    <t>Sean Monahan</t>
  </si>
  <si>
    <t>03:39</t>
  </si>
  <si>
    <t>20:39</t>
  </si>
  <si>
    <t>$11.25M</t>
  </si>
  <si>
    <t>Casey Mittelstadt</t>
  </si>
  <si>
    <t>% de tirs bas, n'a pas tiré beaucoup non plus. Un peu malchanceux. Il va rebondir un epu</t>
  </si>
  <si>
    <t>01:43</t>
  </si>
  <si>
    <t>15:10</t>
  </si>
  <si>
    <t>Chandler Stephenson</t>
  </si>
  <si>
    <t>$5.75M</t>
  </si>
  <si>
    <t xml:space="preserve">Passes secondaires élevés, pourrait perdre son PP. </t>
  </si>
  <si>
    <t>02:56</t>
  </si>
  <si>
    <t>16:51</t>
  </si>
  <si>
    <t>Jonathan Huberdeau</t>
  </si>
  <si>
    <t>02:59</t>
  </si>
  <si>
    <t>17:24</t>
  </si>
  <si>
    <t>N'a jamais aussi peu tiré, passes sec un peu haute. 60 points parait presque impossible</t>
  </si>
  <si>
    <t>$5.50M</t>
  </si>
  <si>
    <t>Calum Ritchie</t>
  </si>
  <si>
    <t>01:57</t>
  </si>
  <si>
    <t>15:59</t>
  </si>
  <si>
    <t>$7.70M</t>
  </si>
  <si>
    <t>Il a fini 14 en 19 avec du PP1 et plus de 15min de temps de glace. Doit tirer plus. Peu de passes sec.</t>
  </si>
  <si>
    <t>Ryan Mcleod</t>
  </si>
  <si>
    <t>02:45</t>
  </si>
  <si>
    <t>17:53</t>
  </si>
  <si>
    <t xml:space="preserve">Ne tire pas assez pour exploser. Joue un rôle plus défensif. Menace de Helenius. </t>
  </si>
  <si>
    <t>$7.75M</t>
  </si>
  <si>
    <t>James Hagens</t>
  </si>
  <si>
    <t>Matvei Gridin</t>
  </si>
  <si>
    <t>00:00</t>
  </si>
  <si>
    <t>14:33</t>
  </si>
  <si>
    <t>% de tir bas, tire quand même assez. Il a fini 13 en 19. Va jouer dans un rôle offensif</t>
  </si>
  <si>
    <t>$1.65M</t>
  </si>
  <si>
    <t>Peyton Krebs</t>
  </si>
  <si>
    <t>Matthew Savoie</t>
  </si>
  <si>
    <t>00:05</t>
  </si>
  <si>
    <t>13:46</t>
  </si>
  <si>
    <t>Il a fini 12 en 19, tirait de plus en plus et jouait davantage. Va jouer sur le top6</t>
  </si>
  <si>
    <t>03:30</t>
  </si>
  <si>
    <t>Anthony Mantha</t>
  </si>
  <si>
    <t>19:15</t>
  </si>
  <si>
    <t>$7.14M</t>
  </si>
  <si>
    <t>N'a que deux saisons de plus de 40 points en 8 ans. % de tirs élevé, passes secondaires élevées</t>
  </si>
  <si>
    <t>Kyle Palmieri</t>
  </si>
  <si>
    <t>03:22</t>
  </si>
  <si>
    <t>15:37</t>
  </si>
  <si>
    <t>Avait une excellente saison. Pourra-t-il revenir de son importante blessure à 35 ans</t>
  </si>
  <si>
    <t>01:35</t>
  </si>
  <si>
    <t>17:37</t>
  </si>
  <si>
    <t>Tire un peu moins, mais en encore beaucoup de PP. Il a commencé 15 en 17 et fini 35 en 58</t>
  </si>
  <si>
    <t>Conor Garland</t>
  </si>
  <si>
    <t>02:14</t>
  </si>
  <si>
    <t>15:39</t>
  </si>
  <si>
    <t>Il a fini 7 en 21 à Columbus. % de tirs bas. Tire peu. Passes secondaires basses.</t>
  </si>
  <si>
    <t>$3.38M</t>
  </si>
  <si>
    <t>Noah Ostlund</t>
  </si>
  <si>
    <t>Alex Newhook</t>
  </si>
  <si>
    <t>01:20</t>
  </si>
  <si>
    <t>13:58</t>
  </si>
  <si>
    <t>$1.36M</t>
  </si>
  <si>
    <t>Ultra performance avec Demidov. % de tirs ultra élevé. Ralentissement à prévoir</t>
  </si>
  <si>
    <t>03:17</t>
  </si>
  <si>
    <t>Easton Cowan</t>
  </si>
  <si>
    <t>15:50</t>
  </si>
  <si>
    <t>$7.95M</t>
  </si>
  <si>
    <t>Il va avoir des minutes top6, mais l'arrivée de Roslovic menace cette possibilité.</t>
  </si>
  <si>
    <t>02:47</t>
  </si>
  <si>
    <t>15:52</t>
  </si>
  <si>
    <t>Noah Cates</t>
  </si>
  <si>
    <t>Fini 16 en 21. Peu d'impact en PP ce qui va bloquer sa production. 2e centre</t>
  </si>
  <si>
    <t>01:44</t>
  </si>
  <si>
    <t>15:53</t>
  </si>
  <si>
    <t>Cole Perfetti</t>
  </si>
  <si>
    <t>$7.50M</t>
  </si>
  <si>
    <t>Jiri Kulich</t>
  </si>
  <si>
    <t>Ne sera pas un joueur de 60 points. Ne joue même pas 16min par match. Au mieux, il fera 50 pts.</t>
  </si>
  <si>
    <t>01:38</t>
  </si>
  <si>
    <t>16:22</t>
  </si>
  <si>
    <t>Anton Lundell</t>
  </si>
  <si>
    <t>$0.89M</t>
  </si>
  <si>
    <t>Konsta Helenius</t>
  </si>
  <si>
    <t>Tire plus, joue plus. Peut-il se battre pour le poste de 2C? va ralentir sur le 3e trio</t>
  </si>
  <si>
    <t>11:55</t>
  </si>
  <si>
    <t>Tyson Foerster</t>
  </si>
  <si>
    <t>$1.54M</t>
  </si>
  <si>
    <t>Doit tirer plus pour exploser. % de tirs élevé. Jouait sur un 3e trio avant blessure</t>
  </si>
  <si>
    <t>02:58</t>
  </si>
  <si>
    <t>16:59</t>
  </si>
  <si>
    <t>Jake DeBrusk</t>
  </si>
  <si>
    <t xml:space="preserve">Marqueur naturel, il est constant depuis 3 ans, entre 40 et 48 points. </t>
  </si>
  <si>
    <t>03:09</t>
  </si>
  <si>
    <t>19:37</t>
  </si>
  <si>
    <t>Ryan Strome</t>
  </si>
  <si>
    <t>$9.75M</t>
  </si>
  <si>
    <t>03:08</t>
  </si>
  <si>
    <t>18:53</t>
  </si>
  <si>
    <t>$7.42M</t>
  </si>
  <si>
    <t>1er centre par défaut, il a fini 12 en 19. Progression en vue</t>
  </si>
  <si>
    <t>01:39</t>
  </si>
  <si>
    <t>14:32</t>
  </si>
  <si>
    <t>Simon Holmstrom</t>
  </si>
  <si>
    <t>$3.17M</t>
  </si>
  <si>
    <t>Tier 9 - Compléments</t>
  </si>
  <si>
    <t>01:34</t>
  </si>
  <si>
    <t>15:27</t>
  </si>
  <si>
    <t>% de tir encore très élevé. Il doit tirer plus. Peu de PP, jouait sur un 3e trio</t>
  </si>
  <si>
    <t>02:10</t>
  </si>
  <si>
    <t>Tylor Toffoli</t>
  </si>
  <si>
    <t>16:30</t>
  </si>
  <si>
    <t>02:54</t>
  </si>
  <si>
    <t>16:36</t>
  </si>
  <si>
    <t>Régression entamée, joue de moins en moins. N'aura plus le PP1</t>
  </si>
  <si>
    <t>Kent Johnson</t>
  </si>
  <si>
    <t>02:55</t>
  </si>
  <si>
    <t>18:08</t>
  </si>
  <si>
    <t>$10.50M</t>
  </si>
  <si>
    <t>Mickael Backlund</t>
  </si>
  <si>
    <t>% de tirs bas, malchance et sous-utilisation. Il va faire mieux et si bien utiliser, il va bien produire</t>
  </si>
  <si>
    <t>01:05</t>
  </si>
  <si>
    <t>17:57</t>
  </si>
  <si>
    <t>Matias Maccelli</t>
  </si>
  <si>
    <t>Joel Farabee</t>
  </si>
  <si>
    <t>01:06</t>
  </si>
  <si>
    <t>16:55</t>
  </si>
  <si>
    <t>Beaucoup de passes secondaires, % de tirs un peu élevé, temps de glace limité</t>
  </si>
  <si>
    <t>Morgan Frost</t>
  </si>
  <si>
    <t>02:41</t>
  </si>
  <si>
    <t>Ryan Hartman</t>
  </si>
  <si>
    <t>15:30</t>
  </si>
  <si>
    <t>$4.38M</t>
  </si>
  <si>
    <t>% de tirs un peu élevé, a fini 16 en 17. S'il tire plus, il va produire davantage</t>
  </si>
  <si>
    <t>16:39</t>
  </si>
  <si>
    <t>Andrew Copp</t>
  </si>
  <si>
    <t>01:56</t>
  </si>
  <si>
    <t>% de tirs bas, passes secondaire un peu élevé. 2e centre par défaut</t>
  </si>
  <si>
    <t>Lawson Crouse</t>
  </si>
  <si>
    <t>$0.94M</t>
  </si>
  <si>
    <t>01:15</t>
  </si>
  <si>
    <t>13:18</t>
  </si>
  <si>
    <t>Joueur de 3e trio qui dépanne sur un 2e. Joue plus de 16 minutes, pourrait profiter de Trocheck</t>
  </si>
  <si>
    <t>Alex Laferriere</t>
  </si>
  <si>
    <t>Ryan Greene</t>
  </si>
  <si>
    <t>01:18</t>
  </si>
  <si>
    <t>16:45</t>
  </si>
  <si>
    <t>Fini 16 en 21 avec du PP et plus de 20 min par match. Passes sec élevé. Risque calculé</t>
  </si>
  <si>
    <t>20:52</t>
  </si>
  <si>
    <t>$4.45M</t>
  </si>
  <si>
    <t>03:33</t>
  </si>
  <si>
    <t>17:42</t>
  </si>
  <si>
    <t>% de tirs élevé, tire peu. Beaucoup de PP. Il a fini 24 en 41.</t>
  </si>
  <si>
    <t>Maxim Shabanov</t>
  </si>
  <si>
    <t>$4.13M</t>
  </si>
  <si>
    <t>03:14</t>
  </si>
  <si>
    <t>18:27</t>
  </si>
  <si>
    <t>% de tir bas, n'a pas été mis dans un rôle offensif. Doit tirer plus et jouer plus.</t>
  </si>
  <si>
    <t>Jake Neighbours</t>
  </si>
  <si>
    <t>18:19</t>
  </si>
  <si>
    <t>$1.55M</t>
  </si>
  <si>
    <t>Nick Lardis</t>
  </si>
  <si>
    <t>Ni tire pas assez pour atteindre le 50 points. Temps de jeu contstant depuis 3 ans, prévisible</t>
  </si>
  <si>
    <t>01:27</t>
  </si>
  <si>
    <t>12:40</t>
  </si>
  <si>
    <t>$0.92M</t>
  </si>
  <si>
    <t>William Karlsson</t>
  </si>
  <si>
    <t>Ryan Donato</t>
  </si>
  <si>
    <t>01:24</t>
  </si>
  <si>
    <t>14:44</t>
  </si>
  <si>
    <t xml:space="preserve">N'a joué que 67 matchs en 2 ans, mais demeure le centre #2 par défaut. </t>
  </si>
  <si>
    <t>Teuvo Teravainen</t>
  </si>
  <si>
    <t>17:45</t>
  </si>
  <si>
    <t>% de tirs élevé, tir peu. Chanceux. Bcp de MOJ en zone défensive. Régression attendue</t>
  </si>
  <si>
    <t>Sacha Boisvert</t>
  </si>
  <si>
    <t>09:15</t>
  </si>
  <si>
    <t>$1.38M</t>
  </si>
  <si>
    <t>Cole Sillinger</t>
  </si>
  <si>
    <t>Marqueur naturel. A bien produit malgré peu de temps de glace. Passes sec un peu élevé</t>
  </si>
  <si>
    <t>00:17</t>
  </si>
  <si>
    <t>15:13</t>
  </si>
  <si>
    <t>Jamie Benn</t>
  </si>
  <si>
    <t>02:36</t>
  </si>
  <si>
    <t>18:54</t>
  </si>
  <si>
    <t>Il a ralentit énormément. Ne tire plus, joue peu et % de tir élevé. Il est fini</t>
  </si>
  <si>
    <t>$4.15M</t>
  </si>
  <si>
    <t>Claude Giroux</t>
  </si>
  <si>
    <t>03:01</t>
  </si>
  <si>
    <t>18:57</t>
  </si>
  <si>
    <t>$3.85M</t>
  </si>
  <si>
    <t>4 ans de régression. Joue de moins en moins. S'il n'est plus sur le 1er trio, il peut régresser beaucoup</t>
  </si>
  <si>
    <t>17:07</t>
  </si>
  <si>
    <t>Jack Roslovic</t>
  </si>
  <si>
    <t>LW/RW</t>
  </si>
  <si>
    <t>S'il joue sur un top6, sa production serait plus près de 45 points. Mais c'est loin d'être acquis</t>
  </si>
  <si>
    <t>01:55</t>
  </si>
  <si>
    <t>17:44</t>
  </si>
  <si>
    <t>Emmitt Finnie</t>
  </si>
  <si>
    <t>$6.13M</t>
  </si>
  <si>
    <t>% de tirs un peu bas. Top6, était aucunement protégé. Une progression est fort possible</t>
  </si>
  <si>
    <t>02:01</t>
  </si>
  <si>
    <t>18:06</t>
  </si>
  <si>
    <t>Gage Goncalves</t>
  </si>
  <si>
    <t>02:05</t>
  </si>
  <si>
    <t>17:12</t>
  </si>
  <si>
    <t>Il doit tirer plus au filet s'il veut produire davantage. Il a fini la saison avec 20 en 37</t>
  </si>
  <si>
    <t>$4.95M</t>
  </si>
  <si>
    <t>Andrei Kuzmenko</t>
  </si>
  <si>
    <t>Dmitri Voronkov</t>
  </si>
  <si>
    <t>13:56</t>
  </si>
  <si>
    <t>Régression depuis 3 ans. Ne tire pas assez. Quitte ou double</t>
  </si>
  <si>
    <t>Trevor Moore</t>
  </si>
  <si>
    <t>$4.18M</t>
  </si>
  <si>
    <t>Régression depuis 3 ans. Tir moins, joue moins et moins de PP. % de tir un peu bas.</t>
  </si>
  <si>
    <t>13:14</t>
  </si>
  <si>
    <t>Boone Jenner</t>
  </si>
  <si>
    <t>Il devient le centre 3-4, derrière Dubois, Strome et Protas. Je suis généreux avec 0,5ppg</t>
  </si>
  <si>
    <t>02:31</t>
  </si>
  <si>
    <t>16:25</t>
  </si>
  <si>
    <t>Jaden Schwartz</t>
  </si>
  <si>
    <t>c</t>
  </si>
  <si>
    <t>Rythme de maximum 50 points dans ses 6 dernières années. Tire moins et toujours blessé</t>
  </si>
  <si>
    <t>04:18</t>
  </si>
  <si>
    <t>22:16</t>
  </si>
  <si>
    <t>Jonathan Marchessault</t>
  </si>
  <si>
    <t>$12.60M</t>
  </si>
  <si>
    <t>Régression depuis 3 ans, tire moins, joue moins, moins de PP. Ne rebondira pas</t>
  </si>
  <si>
    <t>04:05</t>
  </si>
  <si>
    <t>21:30</t>
  </si>
  <si>
    <t>Anders Lee</t>
  </si>
  <si>
    <t>Comble le trou laisser par le départ de Peterka. Va avoir un rôle sur le 3e trio.</t>
  </si>
  <si>
    <t>02:20</t>
  </si>
  <si>
    <t>18:29</t>
  </si>
  <si>
    <t>Ivar Stenberg</t>
  </si>
  <si>
    <t>N'aura pas tous les temps de jeu. Dépend s'il joue avec Celebrini ou Misa.</t>
  </si>
  <si>
    <t>19:39</t>
  </si>
  <si>
    <t>Ilya Protas</t>
  </si>
  <si>
    <t>19:02</t>
  </si>
  <si>
    <t>Protas n'aura pas un rôle prépondérant. Le potentiel est là, mais il n'aura pas un grand rôle cette année</t>
  </si>
  <si>
    <t>Will Cuylle</t>
  </si>
  <si>
    <t>03:52</t>
  </si>
  <si>
    <t>20:15</t>
  </si>
  <si>
    <t>Il a fini 15 en 39. Un joueur de 3e trio, n'aura pas de PP1. Passes secondaires basses</t>
  </si>
  <si>
    <t>Wyatt Johnson</t>
  </si>
  <si>
    <t>Dawson Mercer</t>
  </si>
  <si>
    <t>03:31</t>
  </si>
  <si>
    <t>20:07</t>
  </si>
  <si>
    <t>3e année de progression. N'a jamais autant joué. A commencé 16 en 20 et a fini 26 en 62. Streaky</t>
  </si>
  <si>
    <t>$8.40M</t>
  </si>
  <si>
    <t>Vasily Podkolzin</t>
  </si>
  <si>
    <t>02:19</t>
  </si>
  <si>
    <t>16:31</t>
  </si>
  <si>
    <t>Progression, va jouer sur le top6. S'il tire davantage, il pourrait s'approche du 50</t>
  </si>
  <si>
    <t>Justin Hryckowian</t>
  </si>
  <si>
    <t>Tommy Novak</t>
  </si>
  <si>
    <t>Instable, possible 3C. Il va produire un minimum, mais le plafond est bas</t>
  </si>
  <si>
    <t>$0.95M</t>
  </si>
  <si>
    <t>Connor Brown</t>
  </si>
  <si>
    <t>03:55</t>
  </si>
  <si>
    <t>20:11</t>
  </si>
  <si>
    <t>% de tirs élevé, n'a jamais autant joué. Il a fini 17 en 20, anormal pour lui</t>
  </si>
  <si>
    <t>Igor Chernyshov</t>
  </si>
  <si>
    <t>$12.00M</t>
  </si>
  <si>
    <t>03:05</t>
  </si>
  <si>
    <t>17:20</t>
  </si>
  <si>
    <t>% de tirs élevés, mais passes secondaires basses. Tout dépend de son déploiement</t>
  </si>
  <si>
    <t>Ross Colton</t>
  </si>
  <si>
    <t>$8.45M</t>
  </si>
  <si>
    <t>Joueur de 3e trio. % de tirs ultra faible, mais ne joue pas assez pour être pertinent</t>
  </si>
  <si>
    <t>03:16</t>
  </si>
  <si>
    <t>Michael Misa</t>
  </si>
  <si>
    <t>$8.70M</t>
  </si>
  <si>
    <t>18:48</t>
  </si>
  <si>
    <t>Doit jouer davantage. 1er PP encore incertain. Beaucoup de passes secondaires</t>
  </si>
  <si>
    <t>$8.08M</t>
  </si>
  <si>
    <t>03:20</t>
  </si>
  <si>
    <t>18:30</t>
  </si>
  <si>
    <t>$7.88M</t>
  </si>
  <si>
    <t>Fini 18 en 40. Jouait de plus en plus avec du PP. Doit tirer un peu plus pour le prochain niveau</t>
  </si>
  <si>
    <t>01:21</t>
  </si>
  <si>
    <t>16:34</t>
  </si>
  <si>
    <t>$5.63M</t>
  </si>
  <si>
    <t>Ne tire pas assez, % de tirs un peu élevé. Joue plus en IN qu'en PP</t>
  </si>
  <si>
    <t>01:59</t>
  </si>
  <si>
    <t>Oliver Bjorkstrand</t>
  </si>
  <si>
    <t>14:36</t>
  </si>
  <si>
    <t>Marco Kasper</t>
  </si>
  <si>
    <t>Tire de moins en mois et va jouer sur un 3e trio. Peut bien faire, mais les attentes sont basses</t>
  </si>
  <si>
    <t>00:46</t>
  </si>
  <si>
    <t>13:48</t>
  </si>
  <si>
    <t>Brayden Schenn</t>
  </si>
  <si>
    <t>$1.89M</t>
  </si>
  <si>
    <t>A produit 11 en 19 avec les Isles, il est dorénavant un joueur marginal</t>
  </si>
  <si>
    <t>03:36</t>
  </si>
  <si>
    <t>22:59</t>
  </si>
  <si>
    <t>A joué peu, mais a bien fait. Va commencer la saison lentement, mais peut prendre du galon. Patience</t>
  </si>
  <si>
    <t>$12.50M</t>
  </si>
  <si>
    <t>Matt Savoie</t>
  </si>
  <si>
    <t>Ryan Leonard</t>
  </si>
  <si>
    <t>00:50</t>
  </si>
  <si>
    <t>14:47</t>
  </si>
  <si>
    <t>Leonard va se retrouver coincé sur une 3e ligne, sans PP. Son développement va être ralentit</t>
  </si>
  <si>
    <t>00:28</t>
  </si>
  <si>
    <t>15:23</t>
  </si>
  <si>
    <t>Ridly Greig</t>
  </si>
  <si>
    <t>Stable, rôle plus défensif. Peu de PP. Beaucoup de passes secondaires.</t>
  </si>
  <si>
    <t>03:32</t>
  </si>
  <si>
    <t>19:04</t>
  </si>
  <si>
    <t>Arseni Gritsyuk</t>
  </si>
  <si>
    <t>$5.13M</t>
  </si>
  <si>
    <t>03:37</t>
  </si>
  <si>
    <t>19:59</t>
  </si>
  <si>
    <t>A eu un rôle plus secondaire, peu de PP. Jouera sur un 3e trio</t>
  </si>
  <si>
    <t>Justin Brazeau</t>
  </si>
  <si>
    <t>21:35</t>
  </si>
  <si>
    <t>A énormément ralentit en fin de saison. 3e trio fort possible. Abaisser vos attentes</t>
  </si>
  <si>
    <t>Brett Howden</t>
  </si>
  <si>
    <t>$14.00M</t>
  </si>
  <si>
    <t>A connu de grosses séries, mais demeure un joueur marginal. % de tir de 34% en série...</t>
  </si>
  <si>
    <t>Kiefer Sherwood</t>
  </si>
  <si>
    <t>A été 13 en 28 avec les Sharks. Retrouve le 3e trio, aucun PP. Passes sec élevés, régression prévue</t>
  </si>
  <si>
    <t>Kaapo Kakko</t>
  </si>
  <si>
    <t>Ne tire pas et ne joue pas assez pour exploser. % de tir, passes secondaires et 5v5 % tir sont hauts</t>
  </si>
  <si>
    <t>04:10</t>
  </si>
  <si>
    <t>Brady Martin</t>
  </si>
  <si>
    <t>21:17</t>
  </si>
  <si>
    <t>Tier 10 - Longshot</t>
  </si>
  <si>
    <t>$8.63M</t>
  </si>
  <si>
    <t>S'il joue, il peut être intéressant. Doit avoir des attentes réalistes</t>
  </si>
  <si>
    <t>16:58</t>
  </si>
  <si>
    <t>$8.21M</t>
  </si>
  <si>
    <t>Échantillon faible. Il y a de la place sur le TOP6. Pourrait bien faire, mais soyons prudents</t>
  </si>
  <si>
    <t>03:35</t>
  </si>
  <si>
    <t>18:18</t>
  </si>
  <si>
    <t>Bobby Brink</t>
  </si>
  <si>
    <t>N'a jamais été en mesure de s'établir. Pourrait être 2c, mais il ne tire pas assez pour produire</t>
  </si>
  <si>
    <t>$8.00M</t>
  </si>
  <si>
    <t>Eetu Luostarinen</t>
  </si>
  <si>
    <t>Oliver Kapanen</t>
  </si>
  <si>
    <t>01:07</t>
  </si>
  <si>
    <t>S'il joue avec Demidov, il sera performant. Demidov a eu une aide sur 64% des buts de Kapanen</t>
  </si>
  <si>
    <t>Passes sec très basses, il a fini 17 en 41. Il a un rôle défensif.</t>
  </si>
  <si>
    <t>03:43</t>
  </si>
  <si>
    <t>Mackie Samoskevich</t>
  </si>
  <si>
    <t>Va avoir le même rôle à Seattle qu'en Floride, attentes assez basses</t>
  </si>
  <si>
    <t>20:51</t>
  </si>
  <si>
    <t>$11.64M</t>
  </si>
  <si>
    <t>Zachary Bolduc</t>
  </si>
  <si>
    <t>02:12</t>
  </si>
  <si>
    <t>20:01</t>
  </si>
  <si>
    <t>Résolument défensif. N'a fait que 36 points malgré un match de 4 pts. Ne joue plus en PP</t>
  </si>
  <si>
    <t>03:04</t>
  </si>
  <si>
    <t>19:18</t>
  </si>
  <si>
    <t>Trevor Connelly</t>
  </si>
  <si>
    <t>Ne tire pas et ne joue pas assez pour éclore. Il n'a pas produit en étant très protégé. Breakout year</t>
  </si>
  <si>
    <t>00:44</t>
  </si>
  <si>
    <t>16:44</t>
  </si>
  <si>
    <t>Sean Couturier</t>
  </si>
  <si>
    <t>18:39</t>
  </si>
  <si>
    <t>Breakout. Doit tiré davantage. % de tirs bas. N'a pas assez de MOJ en zone offensive</t>
  </si>
  <si>
    <t>Shane Wright</t>
  </si>
  <si>
    <t>01:41</t>
  </si>
  <si>
    <t>$4.10M</t>
  </si>
  <si>
    <t>03:24</t>
  </si>
  <si>
    <t>19:07</t>
  </si>
  <si>
    <t>A vraiment ralentit depuis 3 ans. Malgré une bonne utilisation, il ne produit plus</t>
  </si>
  <si>
    <t>Erik Haula</t>
  </si>
  <si>
    <t>Andre Burakovsky</t>
  </si>
  <si>
    <t>01:29</t>
  </si>
  <si>
    <t>16:40</t>
  </si>
  <si>
    <t>Alex Turcotte</t>
  </si>
  <si>
    <t>Il pourrait jouer en AHL, mais le départ de Dorofeyev ouvre la porte.Boom or bust</t>
  </si>
  <si>
    <t>00:18</t>
  </si>
  <si>
    <t>10:50</t>
  </si>
  <si>
    <t>03:59</t>
  </si>
  <si>
    <t>22:09</t>
  </si>
  <si>
    <t>Passes secondaires basses, % de tirs bas. Il va rebondir. Pas le 2C, mais pourrait le devenir</t>
  </si>
  <si>
    <t>$9.00M</t>
  </si>
  <si>
    <t>Collin Graf</t>
  </si>
  <si>
    <t>01:45</t>
  </si>
  <si>
    <t>Avec l'arrivée de Marchment et Stenberg, il va reculer sur le 3e trio. Ne jouait déjà pas en PP</t>
  </si>
  <si>
    <t>Danila Yurov</t>
  </si>
  <si>
    <t>00:37</t>
  </si>
  <si>
    <t>$2.95M</t>
  </si>
  <si>
    <t>Stats stable même s'il est jeune. Son % de tris est mauvais. N'a pas de place sur le top 6</t>
  </si>
  <si>
    <t>01:37</t>
  </si>
  <si>
    <t>13:41</t>
  </si>
  <si>
    <t>Matthew Wood</t>
  </si>
  <si>
    <t>$4.48M</t>
  </si>
  <si>
    <t>Blake Coleman</t>
  </si>
  <si>
    <t>01:17</t>
  </si>
  <si>
    <t>A commencé 10 en 13 et fini 20 en 58. Va devoir jouer plus pour produire. peu de passes sec</t>
  </si>
  <si>
    <t>$4.90M</t>
  </si>
  <si>
    <t>19:05</t>
  </si>
  <si>
    <t>Est devenu un joueur de 3e trio. 35% de MOJ offensive et jouait trop. Il va régreser</t>
  </si>
  <si>
    <t>03:51</t>
  </si>
  <si>
    <t>20:34</t>
  </si>
  <si>
    <t>Roman Kantserov</t>
  </si>
  <si>
    <t>Tier 11 - Hail Mary</t>
  </si>
  <si>
    <t>01:58</t>
  </si>
  <si>
    <t xml:space="preserve">Petit joueur provenant de la KHL. Il se retrouve derrière d'autres jeunes et certains vétérans. </t>
  </si>
  <si>
    <t>$2.75M</t>
  </si>
  <si>
    <t>Victor Eklund</t>
  </si>
  <si>
    <t>18:11</t>
  </si>
  <si>
    <t>Pourrait jouer toute la saison. Va avoir un rôle offensif.</t>
  </si>
  <si>
    <t>$7.85M</t>
  </si>
  <si>
    <t>20:49</t>
  </si>
  <si>
    <t>Ne tire pas assez, bcp de passes secondaires. Jouait de plus en plus. Pas encore l'éclosion</t>
  </si>
  <si>
    <t>03:18</t>
  </si>
  <si>
    <t>18:32</t>
  </si>
  <si>
    <t>$7.60M</t>
  </si>
  <si>
    <t xml:space="preserve">Breakout! % de tirs élevé, passes sec élevé, ne tire pas assez. Il a fini 20 en 40. </t>
  </si>
  <si>
    <t>01:01</t>
  </si>
  <si>
    <t>14:29</t>
  </si>
  <si>
    <t>$2.90M</t>
  </si>
  <si>
    <t>Viggo Bjork</t>
  </si>
  <si>
    <t>14:28</t>
  </si>
  <si>
    <t>Petit joueur qui aura sa chance. S'il parvient à faire l'équipe, il faut avoir des attentes modérées.</t>
  </si>
  <si>
    <t>Alexander Wennberg</t>
  </si>
  <si>
    <t>$2.63M</t>
  </si>
  <si>
    <t>01:36</t>
  </si>
  <si>
    <t>Va retrouver le 3e trio. N'aura plus le PP1. Retour à ses chiffres d'antan</t>
  </si>
  <si>
    <t>13:38</t>
  </si>
  <si>
    <t>$1.28M</t>
  </si>
  <si>
    <t>02:00</t>
  </si>
  <si>
    <t>18:31</t>
  </si>
  <si>
    <t>% de tirs élevé, Il a fini 25 en 41 avec aucun PP et peu de temps de glace. Pas de place sur le Top6</t>
  </si>
  <si>
    <t>$8.80M</t>
  </si>
  <si>
    <t>Berkly Catton</t>
  </si>
  <si>
    <t>03:03</t>
  </si>
  <si>
    <t>20:43</t>
  </si>
  <si>
    <t>Ne joue pas assez pour être productif. S'il joue plus, il peut bien faire. Était protégé</t>
  </si>
  <si>
    <t>$7.25M</t>
  </si>
  <si>
    <t>Andrew Cristall</t>
  </si>
  <si>
    <t>18:14</t>
  </si>
  <si>
    <t xml:space="preserve">Demeure un petit joueur qui tente sa chance. Il pourrait jouer en AHL sans surprise. </t>
  </si>
  <si>
    <t>02:57</t>
  </si>
  <si>
    <t>18:46</t>
  </si>
  <si>
    <t>CKB</t>
  </si>
  <si>
    <t>21:19</t>
  </si>
  <si>
    <t>Il a commencé 18 en 21, fini 14 en 42. Joue peu. À éviter à moins d'un échange</t>
  </si>
  <si>
    <t>17:33</t>
  </si>
  <si>
    <t xml:space="preserve">Ne tire presque pas. S'il perd le PP, sa production sera famélique. </t>
  </si>
  <si>
    <t>01:02</t>
  </si>
  <si>
    <t>Ne joue pas et ne tire pas assez pour produire. Coincé sur un 3-4e trio. % de tirs et passes sec élevé</t>
  </si>
  <si>
    <t>$3.25M</t>
  </si>
  <si>
    <t>17:50</t>
  </si>
  <si>
    <t>Daniil But</t>
  </si>
  <si>
    <t>Va jouer sur un 3e trio avec une utilisation offensive minime. À surveiller selon les blessures.</t>
  </si>
  <si>
    <t>02:52</t>
  </si>
  <si>
    <t>20:24</t>
  </si>
  <si>
    <t>Cole Eiserman</t>
  </si>
  <si>
    <t>01:08</t>
  </si>
  <si>
    <t>15:29</t>
  </si>
  <si>
    <t>Ne jouera probablement pas toute la saison, mais arme en PP</t>
  </si>
  <si>
    <t>03:02</t>
  </si>
  <si>
    <t>01:33</t>
  </si>
  <si>
    <t>12:19</t>
  </si>
  <si>
    <t>Risque de faire la navette NHL-AHL. Centre de 3e-4e trio. Il y a trop de jeunes meilleurs que lui à CHI</t>
  </si>
  <si>
    <t>16:37</t>
  </si>
  <si>
    <t>00:48</t>
  </si>
  <si>
    <t>12:31</t>
  </si>
  <si>
    <t>A joué beaucoup avec Bedard sans jamais produire. À Éviter</t>
  </si>
  <si>
    <t>16:42</t>
  </si>
  <si>
    <t xml:space="preserve">Il est redevenu un joueur marginal. </t>
  </si>
  <si>
    <t>02:04</t>
  </si>
  <si>
    <t>13:28</t>
  </si>
  <si>
    <t>Tij Iginla</t>
  </si>
  <si>
    <t>$1.16M</t>
  </si>
  <si>
    <t>03:34</t>
  </si>
  <si>
    <t>20:46</t>
  </si>
  <si>
    <t>Risque de jouer quelques matchs, mais il serait surprenant qu'il joue temps plein en LNH</t>
  </si>
  <si>
    <t>Emil Heineman</t>
  </si>
  <si>
    <t>$1.10M</t>
  </si>
  <si>
    <t xml:space="preserve">Jouera-t-il dans la LNH? N'a pas de place sur le top9. </t>
  </si>
  <si>
    <t>16:46</t>
  </si>
  <si>
    <t>Rutger McGroarty</t>
  </si>
  <si>
    <t>$9.15M</t>
  </si>
  <si>
    <t>L'année de la dernière chance. Tire beaucoup et pourrait produire sur un top6. Quitte ou double</t>
  </si>
  <si>
    <t>14:34</t>
  </si>
  <si>
    <t>Dalibor Dvorsky</t>
  </si>
  <si>
    <t>$3.43M</t>
  </si>
  <si>
    <t>Officiellement 3e centre. Ne tire pas assez pour exploser. Beaucoup de passes secondaires</t>
  </si>
  <si>
    <t>03:40</t>
  </si>
  <si>
    <t>02:29</t>
  </si>
  <si>
    <t>A commencé avec 15 et 21 et fini avec 16 en 61. Joueur de 3e trio</t>
  </si>
  <si>
    <t>$1.48M</t>
  </si>
  <si>
    <t>01:19</t>
  </si>
  <si>
    <t>$1.23M</t>
  </si>
  <si>
    <t>20:54</t>
  </si>
  <si>
    <t>Va se retrouver à être le 9e attaquant. Production et temps de jeu limité</t>
  </si>
  <si>
    <t>Caleb Desnoyers</t>
  </si>
  <si>
    <t>02:25</t>
  </si>
  <si>
    <t>17:36</t>
  </si>
  <si>
    <t>$7.45M</t>
  </si>
  <si>
    <t>20:09</t>
  </si>
  <si>
    <t>Conor Geekie</t>
  </si>
  <si>
    <t>03:27</t>
  </si>
  <si>
    <t>$11.00M</t>
  </si>
  <si>
    <t>S'il joue, il pourrait surprendre. Il était productif avec le temps de jeu qu'il avait</t>
  </si>
  <si>
    <t>01:28</t>
  </si>
  <si>
    <t>Jani Nyman</t>
  </si>
  <si>
    <t>$3.90M</t>
  </si>
  <si>
    <t>Jouait à peine 10 minutes. Attentes basses pour un jeune avec du potentiel</t>
  </si>
  <si>
    <t>Adam Sykora</t>
  </si>
  <si>
    <t>Braeden Cootes</t>
  </si>
  <si>
    <t>00:07</t>
  </si>
  <si>
    <t>11:10</t>
  </si>
  <si>
    <t>Liam Greentree</t>
  </si>
  <si>
    <t>Risque de jouer à l'aile, recrue à surveiller. Pourrait jouer beaucoup dans une jeune équipe</t>
  </si>
  <si>
    <t>Justin Carbonneau</t>
  </si>
  <si>
    <t>Cole Beaudoin</t>
  </si>
  <si>
    <t>Ne devrait pas jouer en LNH cette saison, mais pourrait surprendre et jouer quelques rencontres</t>
  </si>
  <si>
    <t>17:21</t>
  </si>
  <si>
    <t>$4.98M</t>
  </si>
  <si>
    <t>20:16</t>
  </si>
  <si>
    <t>Ne jouera pas cette année ou aura un rôle effacé</t>
  </si>
  <si>
    <t>$8.35M</t>
  </si>
  <si>
    <t>Caleb Malhotra</t>
  </si>
  <si>
    <t>01:00</t>
  </si>
  <si>
    <t>Peut-il commencer l'année en LNH? Si oui, il pourrait jouer beaucoup et récolter quelques points</t>
  </si>
  <si>
    <t>Alex Bump</t>
  </si>
  <si>
    <t>$1.71M</t>
  </si>
  <si>
    <t>17:02</t>
  </si>
  <si>
    <t>% de tirs élevés, pas de place pour lui. Une belle histoire l'an dernier, mais Martone est là</t>
  </si>
  <si>
    <t>$7.10M</t>
  </si>
  <si>
    <t>01:49</t>
  </si>
  <si>
    <t>18:43</t>
  </si>
  <si>
    <t>02:13</t>
  </si>
  <si>
    <t>01:40</t>
  </si>
  <si>
    <t>18:28</t>
  </si>
  <si>
    <t>02:49</t>
  </si>
  <si>
    <t>$8.75M</t>
  </si>
  <si>
    <t>02:11</t>
  </si>
  <si>
    <t>14:50</t>
  </si>
  <si>
    <t>$4.25M</t>
  </si>
  <si>
    <t>ALLO</t>
  </si>
  <si>
    <t>02:03</t>
  </si>
  <si>
    <t>16:15</t>
  </si>
  <si>
    <t xml:space="preserve"> g</t>
  </si>
  <si>
    <t>$6.20M</t>
  </si>
  <si>
    <t>00:52</t>
  </si>
  <si>
    <t>17:18</t>
  </si>
  <si>
    <t>00:57</t>
  </si>
  <si>
    <t>12:38</t>
  </si>
  <si>
    <t>Porter Marton</t>
  </si>
  <si>
    <t>$2.52M</t>
  </si>
  <si>
    <t>13:29</t>
  </si>
  <si>
    <t>$2.10M</t>
  </si>
  <si>
    <t>03:21</t>
  </si>
  <si>
    <t>19:57</t>
  </si>
  <si>
    <t>01:11</t>
  </si>
  <si>
    <t>14:17</t>
  </si>
  <si>
    <t>01:50</t>
  </si>
  <si>
    <t>15:04</t>
  </si>
  <si>
    <t>12:39</t>
  </si>
  <si>
    <t>00:10</t>
  </si>
  <si>
    <t>11:58</t>
  </si>
  <si>
    <t>03:06</t>
  </si>
  <si>
    <t>19:14</t>
  </si>
  <si>
    <t>14:55</t>
  </si>
  <si>
    <t>$4.30M</t>
  </si>
  <si>
    <t>Bobby Mcmann</t>
  </si>
  <si>
    <t>15:56</t>
  </si>
  <si>
    <t>02:39</t>
  </si>
  <si>
    <t>19:17</t>
  </si>
  <si>
    <t>02:51</t>
  </si>
  <si>
    <t>16:26</t>
  </si>
  <si>
    <t>19:23</t>
  </si>
  <si>
    <t>14:15</t>
  </si>
  <si>
    <t>$4.53M</t>
  </si>
  <si>
    <t>00:51</t>
  </si>
  <si>
    <t>12:56</t>
  </si>
  <si>
    <t>$1.94M</t>
  </si>
  <si>
    <t>$3.95M</t>
  </si>
  <si>
    <t>10:34</t>
  </si>
  <si>
    <t>02:06</t>
  </si>
  <si>
    <t>00:29</t>
  </si>
  <si>
    <t>16:27</t>
  </si>
  <si>
    <t>02:18</t>
  </si>
  <si>
    <t>17:22</t>
  </si>
  <si>
    <t>01:10</t>
  </si>
  <si>
    <t>12:49</t>
  </si>
  <si>
    <t>$4.23M</t>
  </si>
  <si>
    <t>14:58</t>
  </si>
  <si>
    <t>20:27</t>
  </si>
  <si>
    <t>01:47</t>
  </si>
  <si>
    <t>17:16</t>
  </si>
  <si>
    <t>15:03</t>
  </si>
  <si>
    <t>02:15</t>
  </si>
  <si>
    <t>18:15</t>
  </si>
  <si>
    <t>$2.29M</t>
  </si>
  <si>
    <t>02:34</t>
  </si>
  <si>
    <t>19:01</t>
  </si>
  <si>
    <t>$8.13M</t>
  </si>
  <si>
    <t>16:54</t>
  </si>
  <si>
    <t>15:14</t>
  </si>
  <si>
    <t>02:23</t>
  </si>
  <si>
    <t>17:56</t>
  </si>
  <si>
    <t>02:16</t>
  </si>
  <si>
    <t>02:02</t>
  </si>
  <si>
    <t>15:19</t>
  </si>
  <si>
    <t>14:20</t>
  </si>
  <si>
    <t>$1.67M</t>
  </si>
  <si>
    <t>04:04</t>
  </si>
  <si>
    <t>03:47</t>
  </si>
  <si>
    <t>04:11</t>
  </si>
  <si>
    <t>20:04</t>
  </si>
  <si>
    <t>00:59</t>
  </si>
  <si>
    <t>13:05</t>
  </si>
  <si>
    <t>$1.20M</t>
  </si>
  <si>
    <t>01:13</t>
  </si>
  <si>
    <t>17:19</t>
  </si>
  <si>
    <t>19:46</t>
  </si>
  <si>
    <t>09:54</t>
  </si>
  <si>
    <t>14:43</t>
  </si>
  <si>
    <t>$0.87M</t>
  </si>
  <si>
    <t>02:46</t>
  </si>
  <si>
    <t>20:48</t>
  </si>
  <si>
    <t>$13.25M</t>
  </si>
  <si>
    <t>19:25</t>
  </si>
  <si>
    <t>02:43</t>
  </si>
  <si>
    <t>$4.39M</t>
  </si>
  <si>
    <t>15:46</t>
  </si>
  <si>
    <t>$7.15M</t>
  </si>
  <si>
    <t>03:10</t>
  </si>
  <si>
    <t>19:43</t>
  </si>
  <si>
    <t>20:33</t>
  </si>
  <si>
    <t>12:28</t>
  </si>
  <si>
    <t>$1.87M</t>
  </si>
  <si>
    <t>15:38</t>
  </si>
  <si>
    <t>03:13</t>
  </si>
  <si>
    <t>18:58</t>
  </si>
  <si>
    <t>$11.60M</t>
  </si>
  <si>
    <t>19:03</t>
  </si>
  <si>
    <t>16:52</t>
  </si>
  <si>
    <t>Marqueur naturel, il est constant depuis 3 ans, entre 40 et 48 points.</t>
  </si>
  <si>
    <t>17:29</t>
  </si>
  <si>
    <t>10:47</t>
  </si>
  <si>
    <t>03:38</t>
  </si>
  <si>
    <t>21:12</t>
  </si>
  <si>
    <t>19:13</t>
  </si>
  <si>
    <t>00:39</t>
  </si>
  <si>
    <t>14:54</t>
  </si>
  <si>
    <t>$8.14M</t>
  </si>
  <si>
    <t>Il a frappé son mur en finissant avec 4 points en 19 matchs.</t>
  </si>
  <si>
    <t>Il pourrait jouer en AHL, mais le départ de Dorofeyev ouvre la porte.Bboom or bust</t>
  </si>
  <si>
    <t>15:09</t>
  </si>
  <si>
    <t>N'a joué que 67 matchs en 2 ans, mais demeure le centre #2 par défaut.</t>
  </si>
  <si>
    <t>04:29</t>
  </si>
  <si>
    <t>03:07</t>
  </si>
  <si>
    <t>18:02</t>
  </si>
  <si>
    <t>19:00</t>
  </si>
  <si>
    <t>16:49</t>
  </si>
  <si>
    <t>15:44</t>
  </si>
  <si>
    <t>19:28</t>
  </si>
  <si>
    <t>00:49</t>
  </si>
  <si>
    <t>16:05</t>
  </si>
  <si>
    <t>14:25</t>
  </si>
  <si>
    <t>$2.21M</t>
  </si>
  <si>
    <t>Congestion à l'attaque. Cristall pourrait être transigé; on doit s'attendre à une autre saison en AHL</t>
  </si>
  <si>
    <t>02:26</t>
  </si>
  <si>
    <t>15:54</t>
  </si>
  <si>
    <t>Il n'a jamais eu un rôle aussi offensif et n'a jamais autant joué. Refaire 100 points n'est pas impossible.</t>
  </si>
  <si>
    <t>18:44</t>
  </si>
  <si>
    <t>24:15</t>
  </si>
  <si>
    <t>00:47</t>
  </si>
  <si>
    <t>18:26</t>
  </si>
  <si>
    <t>$1.70M</t>
  </si>
  <si>
    <t>11:37</t>
  </si>
  <si>
    <t>24:23</t>
  </si>
  <si>
    <t>$3.20M</t>
  </si>
  <si>
    <t>01:25</t>
  </si>
  <si>
    <t>21:37</t>
  </si>
  <si>
    <t>24:11</t>
  </si>
  <si>
    <t>00:03</t>
  </si>
  <si>
    <t>22:50</t>
  </si>
  <si>
    <t>$4.29M</t>
  </si>
  <si>
    <t>00:56</t>
  </si>
  <si>
    <t>21:39</t>
  </si>
  <si>
    <t>Louis Crevier</t>
  </si>
  <si>
    <t>00:04</t>
  </si>
  <si>
    <t>17:08</t>
  </si>
  <si>
    <t>$0.90M</t>
  </si>
  <si>
    <t>22:24</t>
  </si>
  <si>
    <t>00:45</t>
  </si>
  <si>
    <t>21:49</t>
  </si>
  <si>
    <t>$3.60M</t>
  </si>
  <si>
    <t>Shayne Gostisbhere</t>
  </si>
  <si>
    <t>01:26</t>
  </si>
  <si>
    <t>$2.94M</t>
  </si>
  <si>
    <t>Zach Whitecloud</t>
  </si>
  <si>
    <t>20:19</t>
  </si>
  <si>
    <t>01:14</t>
  </si>
  <si>
    <t>19:40</t>
  </si>
  <si>
    <t>$4.17M</t>
  </si>
  <si>
    <t>02:22</t>
  </si>
  <si>
    <t>17:09</t>
  </si>
  <si>
    <t>Alex Vlasic</t>
  </si>
  <si>
    <t>21:08</t>
  </si>
  <si>
    <t>$4.60M</t>
  </si>
  <si>
    <t>02:44</t>
  </si>
  <si>
    <t>19:35</t>
  </si>
  <si>
    <t>22:20</t>
  </si>
  <si>
    <t>18:16</t>
  </si>
  <si>
    <t>$1.37M</t>
  </si>
  <si>
    <t>26:37</t>
  </si>
  <si>
    <t>$9.58M</t>
  </si>
  <si>
    <t>21:04</t>
  </si>
  <si>
    <t>24:49</t>
  </si>
  <si>
    <t>00:33</t>
  </si>
  <si>
    <t>19:11</t>
  </si>
  <si>
    <t>$1.64M</t>
  </si>
  <si>
    <t>24:51</t>
  </si>
  <si>
    <t>22:22</t>
  </si>
  <si>
    <t>00:14</t>
  </si>
  <si>
    <t>$1.40M</t>
  </si>
  <si>
    <t>17:47</t>
  </si>
  <si>
    <t>00:41</t>
  </si>
  <si>
    <t>23:14</t>
  </si>
  <si>
    <t>25:28</t>
  </si>
  <si>
    <t>23:03</t>
  </si>
  <si>
    <t>Simon Edvisson</t>
  </si>
  <si>
    <t>22:21</t>
  </si>
  <si>
    <t>$1.74M</t>
  </si>
  <si>
    <t>25:40</t>
  </si>
  <si>
    <t>$8.55M</t>
  </si>
  <si>
    <t>22:01</t>
  </si>
  <si>
    <t>16:13</t>
  </si>
  <si>
    <t>$1.42M</t>
  </si>
  <si>
    <t>00:30</t>
  </si>
  <si>
    <t>20:36</t>
  </si>
  <si>
    <t>24:41</t>
  </si>
  <si>
    <t>00:42</t>
  </si>
  <si>
    <t>18:45</t>
  </si>
  <si>
    <t>00:36</t>
  </si>
  <si>
    <t>22:38</t>
  </si>
  <si>
    <t>22:29</t>
  </si>
  <si>
    <t>$6.10M</t>
  </si>
  <si>
    <t>23:42</t>
  </si>
  <si>
    <t>23:05</t>
  </si>
  <si>
    <t>02:17</t>
  </si>
  <si>
    <t>19:48</t>
  </si>
  <si>
    <t>$7.40M</t>
  </si>
  <si>
    <t>27:44</t>
  </si>
  <si>
    <t>19:36</t>
  </si>
  <si>
    <t>$7.58M</t>
  </si>
  <si>
    <t>01:04</t>
  </si>
  <si>
    <t>24:10</t>
  </si>
  <si>
    <t>$4.88M</t>
  </si>
  <si>
    <t>01:31</t>
  </si>
  <si>
    <t>23:46</t>
  </si>
  <si>
    <t>$1.33M</t>
  </si>
  <si>
    <t>23:01</t>
  </si>
  <si>
    <t>21:32</t>
  </si>
  <si>
    <t>22:37</t>
  </si>
  <si>
    <t>24:53</t>
  </si>
  <si>
    <t>$9.06M</t>
  </si>
  <si>
    <t>13:53</t>
  </si>
  <si>
    <t>Tanner Molendyk</t>
  </si>
  <si>
    <t>03:19</t>
  </si>
  <si>
    <t>Ryan Pulock</t>
  </si>
  <si>
    <t>00:08</t>
  </si>
  <si>
    <t>$6.15M</t>
  </si>
  <si>
    <t>19:08</t>
  </si>
  <si>
    <t>23:44</t>
  </si>
  <si>
    <t>23:38</t>
  </si>
  <si>
    <t>19:16</t>
  </si>
  <si>
    <t>24:50</t>
  </si>
  <si>
    <t>$8.05M</t>
  </si>
  <si>
    <t>22:35</t>
  </si>
  <si>
    <t>24:13</t>
  </si>
  <si>
    <t>22:32</t>
  </si>
  <si>
    <t>$5.15M</t>
  </si>
  <si>
    <t>21:33</t>
  </si>
  <si>
    <t>$2.30M</t>
  </si>
  <si>
    <t>16:28</t>
  </si>
  <si>
    <t>$1.14M</t>
  </si>
  <si>
    <t>23:36</t>
  </si>
  <si>
    <t>21:41</t>
  </si>
  <si>
    <t>21:40</t>
  </si>
  <si>
    <t>$7.35M</t>
  </si>
  <si>
    <t>Adam Larsson</t>
  </si>
  <si>
    <t>21:22</t>
  </si>
  <si>
    <t>00:21</t>
  </si>
  <si>
    <t>17:48</t>
  </si>
  <si>
    <t>$2.05M</t>
  </si>
  <si>
    <t>22:34</t>
  </si>
  <si>
    <t>02:28</t>
  </si>
  <si>
    <t>20:58</t>
  </si>
  <si>
    <t>$9.25M</t>
  </si>
  <si>
    <t>$1.73M</t>
  </si>
  <si>
    <t>23:21</t>
  </si>
  <si>
    <t>$4.58M</t>
  </si>
  <si>
    <t>21:05</t>
  </si>
  <si>
    <t>21:34</t>
  </si>
  <si>
    <t>23:10</t>
  </si>
  <si>
    <t>18:52</t>
  </si>
  <si>
    <t>03:45</t>
  </si>
  <si>
    <t>22:42</t>
  </si>
  <si>
    <t>24:18</t>
  </si>
  <si>
    <t>22:28</t>
  </si>
  <si>
    <t>Officiellement #1, peu de PP et beaucoup de DN. Pourrait faire mieux que 30, mais</t>
  </si>
  <si>
    <t>20:12</t>
  </si>
  <si>
    <t>$4.40M</t>
  </si>
  <si>
    <t>25:00</t>
  </si>
  <si>
    <t>$1.75M</t>
  </si>
  <si>
    <t>23:12</t>
  </si>
  <si>
    <t>$4.55M</t>
  </si>
  <si>
    <t>01:23</t>
  </si>
  <si>
    <t>$7.43M</t>
  </si>
  <si>
    <t>22:36</t>
  </si>
  <si>
    <t>23:20</t>
  </si>
  <si>
    <t>$2.23M</t>
  </si>
  <si>
    <t>24:43</t>
  </si>
  <si>
    <t>22:43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</si>
</sst>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$-C0C]"/>
    <numFmt numFmtId="165" formatCode="0.0"/>
    <numFmt numFmtId="166" formatCode="0.000"/>
    <numFmt numFmtId="167" formatCode="0.0%"/>
  </numFmts>
  <fonts count="20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b/>
      <sz val="10.0"/>
      <color rgb="FF000000"/>
      <name val="Carlito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</font>
    <font>
      <color rgb="FF000000"/>
      <name val="Arial"/>
    </font>
    <font>
      <sz val="10.0"/>
      <color rgb="FF000000"/>
      <name val="Carlito"/>
    </font>
    <font>
      <color theme="1"/>
      <name val="Arial"/>
      <scheme val="minor"/>
    </font>
    <font>
      <sz val="11.0"/>
      <color rgb="FF000000"/>
      <name val="Carlito"/>
    </font>
    <font>
      <color theme="1"/>
      <name val="Carlito"/>
    </font>
    <font>
      <color rgb="FF990000"/>
      <name val="Carlito"/>
    </font>
    <font>
      <color rgb="FF7F6000"/>
      <name val="Carlito"/>
    </font>
    <font>
      <color rgb="FF006100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  <bgColor rgb="FF1F4E79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2" fontId="6" numFmtId="0" xfId="0" applyAlignment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center"/>
    </xf>
    <xf borderId="4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2" fontId="7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/>
    </xf>
    <xf borderId="4" fillId="2" fontId="9" numFmtId="0" xfId="0" applyAlignment="1" applyBorder="1" applyFont="1">
      <alignment horizontal="center" shrinkToFit="0" vertical="center" wrapText="1"/>
    </xf>
    <xf borderId="0" fillId="2" fontId="10" numFmtId="0" xfId="0" applyFont="1"/>
    <xf borderId="0" fillId="2" fontId="9" numFmtId="0" xfId="0" applyAlignment="1" applyFont="1">
      <alignment horizontal="center"/>
    </xf>
    <xf borderId="4" fillId="2" fontId="0" numFmtId="1" xfId="0" applyAlignment="1" applyBorder="1" applyFont="1" applyNumberFormat="1">
      <alignment horizontal="center" readingOrder="0" shrinkToFit="0" vertical="center" wrapText="0"/>
    </xf>
    <xf borderId="4" fillId="2" fontId="3" numFmtId="164" xfId="0" applyAlignment="1" applyBorder="1" applyFont="1" applyNumberFormat="1">
      <alignment horizontal="center" readingOrder="0"/>
    </xf>
    <xf borderId="4" fillId="2" fontId="0" numFmtId="0" xfId="0" applyAlignment="1" applyBorder="1" applyFont="1">
      <alignment horizontal="center" shrinkToFit="0" vertical="center" wrapText="0"/>
    </xf>
    <xf borderId="0" fillId="2" fontId="11" numFmtId="1" xfId="0" applyAlignment="1" applyFont="1" applyNumberFormat="1">
      <alignment horizontal="center" readingOrder="0" shrinkToFit="0" vertical="center" wrapText="1"/>
    </xf>
    <xf borderId="4" fillId="2" fontId="0" numFmtId="165" xfId="0" applyAlignment="1" applyBorder="1" applyFont="1" applyNumberForma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vertical="center"/>
    </xf>
    <xf borderId="4" fillId="2" fontId="0" numFmtId="1" xfId="0" applyAlignment="1" applyBorder="1" applyFont="1" applyNumberFormat="1">
      <alignment horizontal="center" shrinkToFit="0" vertical="center" wrapText="0"/>
    </xf>
    <xf borderId="4" fillId="2" fontId="11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readingOrder="0"/>
    </xf>
    <xf borderId="4" fillId="2" fontId="11" numFmtId="165" xfId="0" applyAlignment="1" applyBorder="1" applyFont="1" applyNumberFormat="1">
      <alignment horizontal="left" shrinkToFit="0" vertical="center" wrapText="1"/>
    </xf>
    <xf borderId="4" fillId="2" fontId="8" numFmtId="0" xfId="0" applyAlignment="1" applyBorder="1" applyFont="1">
      <alignment horizontal="center"/>
    </xf>
    <xf borderId="4" fillId="2" fontId="0" numFmtId="2" xfId="0" applyAlignment="1" applyBorder="1" applyFont="1" applyNumberFormat="1">
      <alignment horizontal="center" shrinkToFit="0" vertical="center" wrapText="0"/>
    </xf>
    <xf borderId="4" fillId="2" fontId="11" numFmtId="165" xfId="0" applyAlignment="1" applyBorder="1" applyFont="1" applyNumberFormat="1">
      <alignment horizontal="center" shrinkToFit="0" vertical="center" wrapText="1"/>
    </xf>
    <xf borderId="4" fillId="2" fontId="8" numFmtId="1" xfId="0" applyAlignment="1" applyBorder="1" applyFont="1" applyNumberFormat="1">
      <alignment horizontal="center" readingOrder="0"/>
    </xf>
    <xf borderId="4" fillId="2" fontId="0" numFmtId="166" xfId="0" applyAlignment="1" applyBorder="1" applyFont="1" applyNumberFormat="1">
      <alignment horizontal="center" shrinkToFit="0" vertical="center" wrapText="0"/>
    </xf>
    <xf borderId="4" fillId="2" fontId="11" numFmtId="165" xfId="0" applyAlignment="1" applyBorder="1" applyFont="1" applyNumberFormat="1">
      <alignment horizontal="center" readingOrder="0" shrinkToFit="0" vertical="center" wrapText="1"/>
    </xf>
    <xf borderId="0" fillId="2" fontId="8" numFmtId="0" xfId="0" applyAlignment="1" applyFont="1">
      <alignment horizontal="center" vertical="center"/>
    </xf>
    <xf borderId="4" fillId="0" fontId="11" numFmtId="1" xfId="0" applyAlignment="1" applyBorder="1" applyFont="1" applyNumberFormat="1">
      <alignment horizontal="center" readingOrder="0" shrinkToFit="0" vertical="center" wrapText="1"/>
    </xf>
    <xf borderId="4" fillId="3" fontId="11" numFmtId="1" xfId="0" applyAlignment="1" applyBorder="1" applyFill="1" applyFont="1" applyNumberFormat="1">
      <alignment horizontal="center" shrinkToFit="0" vertical="center" wrapText="1"/>
    </xf>
    <xf borderId="4" fillId="2" fontId="11" numFmtId="1" xfId="0" applyAlignment="1" applyBorder="1" applyFont="1" applyNumberForma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vertical="center"/>
    </xf>
    <xf borderId="4" fillId="2" fontId="0" numFmtId="165" xfId="0" applyAlignment="1" applyBorder="1" applyFont="1" applyNumberFormat="1">
      <alignment horizontal="center" shrinkToFit="0" vertical="center" wrapText="0"/>
    </xf>
    <xf borderId="4" fillId="0" fontId="11" numFmtId="3" xfId="0" applyAlignment="1" applyBorder="1" applyFont="1" applyNumberFormat="1">
      <alignment horizontal="center" readingOrder="0" shrinkToFit="0" vertical="center" wrapText="1"/>
    </xf>
    <xf borderId="4" fillId="2" fontId="3" numFmtId="1" xfId="0" applyAlignment="1" applyBorder="1" applyFont="1" applyNumberFormat="1">
      <alignment horizontal="center" readingOrder="0" vertical="center"/>
    </xf>
    <xf borderId="4" fillId="2" fontId="0" numFmtId="164" xfId="0" applyAlignment="1" applyBorder="1" applyFont="1" applyNumberFormat="1">
      <alignment horizontal="center" readingOrder="0" shrinkToFit="0" vertical="center" wrapText="0"/>
    </xf>
    <xf borderId="4" fillId="3" fontId="11" numFmtId="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/>
    </xf>
    <xf borderId="4" fillId="2" fontId="11" numFmtId="2" xfId="0" applyAlignment="1" applyBorder="1" applyFont="1" applyNumberFormat="1">
      <alignment horizontal="center" shrinkToFit="0" vertical="center" wrapText="1"/>
    </xf>
    <xf borderId="4" fillId="2" fontId="8" numFmtId="2" xfId="0" applyAlignment="1" applyBorder="1" applyFont="1" applyNumberFormat="1">
      <alignment horizontal="center"/>
    </xf>
    <xf borderId="4" fillId="2" fontId="11" numFmtId="166" xfId="0" applyAlignment="1" applyBorder="1" applyFont="1" applyNumberFormat="1">
      <alignment horizontal="center" shrinkToFit="0" vertical="center" wrapText="1"/>
    </xf>
    <xf borderId="4" fillId="2" fontId="8" numFmtId="164" xfId="0" applyAlignment="1" applyBorder="1" applyFont="1" applyNumberFormat="1">
      <alignment horizontal="center" readingOrder="0"/>
    </xf>
    <xf borderId="4" fillId="2" fontId="9" numFmtId="165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/>
    </xf>
    <xf borderId="4" fillId="2" fontId="9" numFmtId="165" xfId="0" applyAlignment="1" applyBorder="1" applyFont="1" applyNumberFormat="1">
      <alignment horizontal="left" shrinkToFit="0" vertical="center" wrapText="1"/>
    </xf>
    <xf borderId="4" fillId="2" fontId="3" numFmtId="164" xfId="0" applyAlignment="1" applyBorder="1" applyFont="1" applyNumberFormat="1">
      <alignment horizontal="center" readingOrder="0" vertical="center"/>
    </xf>
    <xf borderId="0" fillId="0" fontId="12" numFmtId="1" xfId="0" applyFont="1" applyNumberFormat="1"/>
    <xf borderId="4" fillId="2" fontId="8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vertical="center"/>
    </xf>
    <xf borderId="4" fillId="2" fontId="13" numFmtId="165" xfId="0" applyAlignment="1" applyBorder="1" applyFont="1" applyNumberFormat="1">
      <alignment horizontal="center" readingOrder="0" shrinkToFit="0" vertical="center" wrapText="0"/>
    </xf>
    <xf borderId="4" fillId="2" fontId="8" numFmtId="1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horizontal="center" readingOrder="0"/>
    </xf>
    <xf borderId="4" fillId="2" fontId="8" numFmtId="0" xfId="0" applyAlignment="1" applyBorder="1" applyFont="1">
      <alignment horizontal="center" vertical="center"/>
    </xf>
    <xf borderId="0" fillId="0" fontId="12" numFmtId="0" xfId="0" applyAlignment="1" applyFont="1">
      <alignment readingOrder="0"/>
    </xf>
    <xf borderId="4" fillId="2" fontId="8" numFmtId="2" xfId="0" applyAlignment="1" applyBorder="1" applyFont="1" applyNumberFormat="1">
      <alignment horizontal="center" vertical="center"/>
    </xf>
    <xf borderId="4" fillId="2" fontId="8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4" fillId="0" fontId="8" numFmtId="1" xfId="0" applyAlignment="1" applyBorder="1" applyFont="1" applyNumberFormat="1">
      <alignment horizontal="center" readingOrder="0"/>
    </xf>
    <xf borderId="0" fillId="2" fontId="8" numFmtId="1" xfId="0" applyAlignment="1" applyFont="1" applyNumberFormat="1">
      <alignment horizontal="center" vertical="center"/>
    </xf>
    <xf borderId="4" fillId="0" fontId="8" numFmtId="2" xfId="0" applyAlignment="1" applyBorder="1" applyFont="1" applyNumberFormat="1">
      <alignment horizontal="center"/>
    </xf>
    <xf borderId="4" fillId="4" fontId="11" numFmtId="4" xfId="0" applyAlignment="1" applyBorder="1" applyFill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/>
    </xf>
    <xf borderId="4" fillId="5" fontId="0" numFmtId="0" xfId="0" applyAlignment="1" applyBorder="1" applyFill="1" applyFont="1">
      <alignment horizontal="center" shrinkToFit="0" vertical="center" wrapText="0"/>
    </xf>
    <xf borderId="0" fillId="2" fontId="8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5" fontId="0" numFmtId="0" xfId="0" applyAlignment="1" applyBorder="1" applyFont="1">
      <alignment horizontal="center" readingOrder="0" shrinkToFit="0" vertical="center" wrapText="0"/>
    </xf>
    <xf borderId="4" fillId="6" fontId="11" numFmtId="4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readingOrder="0" vertical="center"/>
    </xf>
    <xf borderId="0" fillId="7" fontId="11" numFmtId="1" xfId="0" applyAlignment="1" applyFill="1" applyFont="1" applyNumberFormat="1">
      <alignment horizontal="center" readingOrder="0" shrinkToFit="0" vertical="center" wrapText="1"/>
    </xf>
    <xf borderId="4" fillId="7" fontId="11" numFmtId="1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7" fontId="11" numFmtId="165" xfId="0" applyAlignment="1" applyBorder="1" applyFont="1" applyNumberFormat="1">
      <alignment horizontal="left" shrinkToFit="0" vertical="center" wrapText="1"/>
    </xf>
    <xf borderId="4" fillId="7" fontId="11" numFmtId="165" xfId="0" applyAlignment="1" applyBorder="1" applyFont="1" applyNumberFormat="1">
      <alignment horizontal="center" shrinkToFit="0" vertical="center" wrapText="1"/>
    </xf>
    <xf borderId="4" fillId="7" fontId="11" numFmtId="165" xfId="0" applyAlignment="1" applyBorder="1" applyFont="1" applyNumberFormat="1">
      <alignment horizontal="center" readingOrder="0" shrinkToFit="0" vertical="center" wrapText="1"/>
    </xf>
    <xf borderId="4" fillId="7" fontId="11" numFmtId="1" xfId="0" applyAlignment="1" applyBorder="1" applyFont="1" applyNumberFormat="1">
      <alignment horizontal="center" readingOrder="0" shrinkToFit="0" vertical="center" wrapText="1"/>
    </xf>
    <xf borderId="4" fillId="7" fontId="11" numFmtId="4" xfId="0" applyAlignment="1" applyBorder="1" applyFont="1" applyNumberFormat="1">
      <alignment horizontal="center" shrinkToFit="0" vertical="center" wrapText="1"/>
    </xf>
    <xf borderId="4" fillId="7" fontId="11" numFmtId="2" xfId="0" applyAlignment="1" applyBorder="1" applyFont="1" applyNumberFormat="1">
      <alignment horizontal="center" shrinkToFit="0" vertical="center" wrapText="1"/>
    </xf>
    <xf borderId="4" fillId="7" fontId="11" numFmtId="166" xfId="0" applyAlignment="1" applyBorder="1" applyFont="1" applyNumberFormat="1">
      <alignment horizontal="center" shrinkToFit="0" vertical="center" wrapText="1"/>
    </xf>
    <xf borderId="4" fillId="7" fontId="9" numFmtId="165" xfId="0" applyAlignment="1" applyBorder="1" applyFont="1" applyNumberFormat="1">
      <alignment horizontal="center" shrinkToFit="0" vertical="center" wrapText="1"/>
    </xf>
    <xf borderId="4" fillId="0" fontId="13" numFmtId="165" xfId="0" applyAlignment="1" applyBorder="1" applyFont="1" applyNumberFormat="1">
      <alignment horizontal="center" readingOrder="0" shrinkToFit="0" vertical="center" wrapText="0"/>
    </xf>
    <xf borderId="4" fillId="7" fontId="9" numFmtId="165" xfId="0" applyAlignment="1" applyBorder="1" applyFont="1" applyNumberFormat="1">
      <alignment horizontal="left" shrinkToFit="0" vertical="center" wrapText="1"/>
    </xf>
    <xf borderId="4" fillId="0" fontId="8" numFmtId="1" xfId="0" applyAlignment="1" applyBorder="1" applyFont="1" applyNumberFormat="1">
      <alignment horizontal="center" readingOrder="0" vertical="center"/>
    </xf>
    <xf borderId="0" fillId="0" fontId="12" numFmtId="4" xfId="0" applyFont="1" applyNumberFormat="1"/>
    <xf borderId="0" fillId="7" fontId="12" numFmtId="0" xfId="0" applyFont="1"/>
    <xf borderId="4" fillId="0" fontId="8" numFmtId="2" xfId="0" applyAlignment="1" applyBorder="1" applyFont="1" applyNumberFormat="1">
      <alignment horizontal="center" vertical="center"/>
    </xf>
    <xf borderId="4" fillId="0" fontId="8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0" fillId="2" fontId="14" numFmtId="1" xfId="0" applyAlignment="1" applyFont="1" applyNumberFormat="1">
      <alignment horizontal="center" shrinkToFit="0" wrapText="1"/>
    </xf>
    <xf borderId="4" fillId="2" fontId="14" numFmtId="1" xfId="0" applyAlignment="1" applyBorder="1" applyFont="1" applyNumberFormat="1">
      <alignment horizontal="center" shrinkToFit="0" wrapText="1"/>
    </xf>
    <xf borderId="4" fillId="2" fontId="14" numFmtId="165" xfId="0" applyAlignment="1" applyBorder="1" applyFont="1" applyNumberFormat="1">
      <alignment shrinkToFit="0" wrapText="1"/>
    </xf>
    <xf borderId="4" fillId="2" fontId="14" numFmtId="165" xfId="0" applyAlignment="1" applyBorder="1" applyFont="1" applyNumberFormat="1">
      <alignment horizontal="center" shrinkToFit="0" wrapText="1"/>
    </xf>
    <xf borderId="4" fillId="5" fontId="15" numFmtId="165" xfId="0" applyAlignment="1" applyBorder="1" applyFont="1" applyNumberFormat="1">
      <alignment horizontal="center" shrinkToFit="0" wrapText="1"/>
    </xf>
    <xf borderId="4" fillId="8" fontId="16" numFmtId="165" xfId="0" applyAlignment="1" applyBorder="1" applyFill="1" applyFont="1" applyNumberFormat="1">
      <alignment horizontal="center" shrinkToFit="0" wrapText="1"/>
    </xf>
    <xf borderId="4" fillId="2" fontId="5" numFmtId="1" xfId="0" applyBorder="1" applyFont="1" applyNumberFormat="1"/>
    <xf borderId="4" fillId="8" fontId="0" numFmtId="0" xfId="0" applyAlignment="1" applyBorder="1" applyFont="1">
      <alignment horizontal="center" shrinkToFit="0" vertical="center" wrapText="0"/>
    </xf>
    <xf borderId="4" fillId="0" fontId="14" numFmtId="1" xfId="0" applyAlignment="1" applyBorder="1" applyFont="1" applyNumberFormat="1">
      <alignment horizontal="center" shrinkToFit="0" wrapText="1"/>
    </xf>
    <xf borderId="4" fillId="6" fontId="14" numFmtId="1" xfId="0" applyAlignment="1" applyBorder="1" applyFont="1" applyNumberFormat="1">
      <alignment horizontal="center" shrinkToFit="0" wrapText="1"/>
    </xf>
    <xf borderId="4" fillId="2" fontId="14" numFmtId="1" xfId="0" applyAlignment="1" applyBorder="1" applyFont="1" applyNumberFormat="1">
      <alignment horizontal="center" readingOrder="0" shrinkToFit="0" wrapText="1"/>
    </xf>
    <xf borderId="4" fillId="3" fontId="14" numFmtId="4" xfId="0" applyAlignment="1" applyBorder="1" applyFont="1" applyNumberFormat="1">
      <alignment horizontal="center" shrinkToFit="0" wrapText="1"/>
    </xf>
    <xf borderId="4" fillId="2" fontId="14" numFmtId="2" xfId="0" applyAlignment="1" applyBorder="1" applyFont="1" applyNumberFormat="1">
      <alignment horizontal="center" shrinkToFit="0" wrapText="1"/>
    </xf>
    <xf borderId="4" fillId="2" fontId="14" numFmtId="166" xfId="0" applyAlignment="1" applyBorder="1" applyFont="1" applyNumberFormat="1">
      <alignment horizontal="center" shrinkToFit="0" wrapText="1"/>
    </xf>
    <xf borderId="4" fillId="2" fontId="5" numFmtId="165" xfId="0" applyBorder="1" applyFont="1" applyNumberFormat="1"/>
    <xf borderId="0" fillId="0" fontId="5" numFmtId="0" xfId="0" applyAlignment="1" applyFont="1">
      <alignment vertical="bottom"/>
    </xf>
    <xf borderId="0" fillId="2" fontId="14" numFmtId="1" xfId="0" applyAlignment="1" applyFont="1" applyNumberFormat="1">
      <alignment horizontal="center" shrinkToFit="0" vertical="bottom" wrapText="1"/>
    </xf>
    <xf borderId="4" fillId="2" fontId="14" numFmtId="1" xfId="0" applyAlignment="1" applyBorder="1" applyFont="1" applyNumberFormat="1">
      <alignment horizontal="center" readingOrder="0" shrinkToFit="0" vertical="bottom" wrapText="1"/>
    </xf>
    <xf borderId="4" fillId="2" fontId="14" numFmtId="165" xfId="0" applyAlignment="1" applyBorder="1" applyFont="1" applyNumberFormat="1">
      <alignment shrinkToFit="0" vertical="bottom" wrapText="1"/>
    </xf>
    <xf borderId="4" fillId="2" fontId="14" numFmtId="165" xfId="0" applyAlignment="1" applyBorder="1" applyFont="1" applyNumberFormat="1">
      <alignment horizontal="center" shrinkToFit="0" vertical="bottom" wrapText="1"/>
    </xf>
    <xf borderId="4" fillId="5" fontId="15" numFmtId="165" xfId="0" applyAlignment="1" applyBorder="1" applyFont="1" applyNumberFormat="1">
      <alignment horizontal="center" shrinkToFit="0" vertical="bottom" wrapText="1"/>
    </xf>
    <xf borderId="4" fillId="8" fontId="16" numFmtId="165" xfId="0" applyAlignment="1" applyBorder="1" applyFont="1" applyNumberFormat="1">
      <alignment horizontal="center" shrinkToFit="0" vertical="bottom" wrapText="1"/>
    </xf>
    <xf borderId="4" fillId="2" fontId="5" numFmtId="1" xfId="0" applyAlignment="1" applyBorder="1" applyFont="1" applyNumberFormat="1">
      <alignment vertical="bottom"/>
    </xf>
    <xf borderId="4" fillId="2" fontId="14" numFmtId="1" xfId="0" applyAlignment="1" applyBorder="1" applyFont="1" applyNumberFormat="1">
      <alignment horizontal="center" shrinkToFit="0" vertical="bottom" wrapText="1"/>
    </xf>
    <xf borderId="4" fillId="0" fontId="14" numFmtId="1" xfId="0" applyAlignment="1" applyBorder="1" applyFont="1" applyNumberFormat="1">
      <alignment horizontal="center" shrinkToFit="0" vertical="bottom" wrapText="1"/>
    </xf>
    <xf borderId="4" fillId="3" fontId="14" numFmtId="1" xfId="0" applyAlignment="1" applyBorder="1" applyFont="1" applyNumberFormat="1">
      <alignment horizontal="center" shrinkToFit="0" vertical="bottom" wrapText="1"/>
    </xf>
    <xf borderId="4" fillId="6" fontId="14" numFmtId="4" xfId="0" applyAlignment="1" applyBorder="1" applyFont="1" applyNumberFormat="1">
      <alignment horizontal="center" shrinkToFit="0" vertical="bottom" wrapText="1"/>
    </xf>
    <xf borderId="4" fillId="2" fontId="14" numFmtId="2" xfId="0" applyAlignment="1" applyBorder="1" applyFont="1" applyNumberFormat="1">
      <alignment horizontal="center" shrinkToFit="0" vertical="bottom" wrapText="1"/>
    </xf>
    <xf borderId="4" fillId="2" fontId="14" numFmtId="166" xfId="0" applyAlignment="1" applyBorder="1" applyFont="1" applyNumberFormat="1">
      <alignment horizontal="center" shrinkToFit="0" vertical="bottom" wrapText="1"/>
    </xf>
    <xf borderId="4" fillId="2" fontId="5" numFmtId="165" xfId="0" applyAlignment="1" applyBorder="1" applyFont="1" applyNumberFormat="1">
      <alignment vertical="bottom"/>
    </xf>
    <xf borderId="4" fillId="0" fontId="8" numFmtId="0" xfId="0" applyAlignment="1" applyBorder="1" applyFont="1">
      <alignment horizontal="center" readingOrder="0" vertical="center"/>
    </xf>
    <xf borderId="4" fillId="6" fontId="11" numFmtId="1" xfId="0" applyAlignment="1" applyBorder="1" applyFont="1" applyNumberFormat="1">
      <alignment horizontal="center" shrinkToFit="0" vertical="center" wrapText="1"/>
    </xf>
    <xf borderId="4" fillId="2" fontId="11" numFmtId="165" xfId="0" applyAlignment="1" applyBorder="1" applyFont="1" applyNumberFormat="1">
      <alignment horizontal="left" readingOrder="0" shrinkToFit="0" vertical="center" wrapText="1"/>
    </xf>
    <xf borderId="4" fillId="0" fontId="8" numFmtId="1" xfId="0" applyAlignment="1" applyBorder="1" applyFont="1" applyNumberFormat="1">
      <alignment horizontal="center"/>
    </xf>
    <xf borderId="4" fillId="5" fontId="5" numFmtId="165" xfId="0" applyBorder="1" applyFont="1" applyNumberFormat="1"/>
    <xf borderId="4" fillId="3" fontId="14" numFmtId="1" xfId="0" applyAlignment="1" applyBorder="1" applyFont="1" applyNumberFormat="1">
      <alignment horizontal="center" shrinkToFit="0" wrapText="1"/>
    </xf>
    <xf borderId="4" fillId="4" fontId="14" numFmtId="4" xfId="0" applyAlignment="1" applyBorder="1" applyFont="1" applyNumberFormat="1">
      <alignment horizontal="center" shrinkToFit="0" wrapText="1"/>
    </xf>
    <xf borderId="4" fillId="9" fontId="17" numFmtId="165" xfId="0" applyAlignment="1" applyBorder="1" applyFill="1" applyFont="1" applyNumberFormat="1">
      <alignment horizontal="center" shrinkToFit="0" wrapText="1"/>
    </xf>
    <xf borderId="4" fillId="6" fontId="14" numFmtId="4" xfId="0" applyAlignment="1" applyBorder="1" applyFont="1" applyNumberFormat="1">
      <alignment horizontal="center" shrinkToFit="0" wrapText="1"/>
    </xf>
    <xf borderId="4" fillId="0" fontId="11" numFmtId="1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/>
    </xf>
    <xf borderId="0" fillId="5" fontId="8" numFmtId="0" xfId="0" applyAlignment="1" applyFont="1">
      <alignment horizontal="center" vertical="center"/>
    </xf>
    <xf borderId="4" fillId="10" fontId="0" numFmtId="164" xfId="0" applyAlignment="1" applyBorder="1" applyFill="1" applyFont="1" applyNumberFormat="1">
      <alignment horizontal="center" shrinkToFit="0" vertical="center" wrapText="0"/>
    </xf>
    <xf borderId="4" fillId="2" fontId="11" numFmtId="4" xfId="0" applyAlignment="1" applyBorder="1" applyFont="1" applyNumberFormat="1">
      <alignment horizontal="center" shrinkToFit="0" vertical="center" wrapText="1"/>
    </xf>
    <xf borderId="4" fillId="11" fontId="11" numFmtId="165" xfId="0" applyAlignment="1" applyBorder="1" applyFill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center"/>
    </xf>
    <xf borderId="5" fillId="0" fontId="8" numFmtId="1" xfId="0" applyAlignment="1" applyBorder="1" applyFont="1" applyNumberFormat="1">
      <alignment horizontal="center" readingOrder="0"/>
    </xf>
    <xf borderId="5" fillId="0" fontId="8" numFmtId="2" xfId="0" applyAlignment="1" applyBorder="1" applyFont="1" applyNumberFormat="1">
      <alignment horizontal="center"/>
    </xf>
    <xf borderId="5" fillId="0" fontId="8" numFmtId="164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 readingOrder="0"/>
    </xf>
    <xf borderId="0" fillId="12" fontId="8" numFmtId="0" xfId="0" applyAlignment="1" applyFill="1" applyFont="1">
      <alignment horizontal="center" vertical="center"/>
    </xf>
    <xf borderId="6" fillId="0" fontId="8" numFmtId="0" xfId="0" applyAlignment="1" applyBorder="1" applyFont="1">
      <alignment horizontal="center" readingOrder="0"/>
    </xf>
    <xf borderId="6" fillId="0" fontId="8" numFmtId="1" xfId="0" applyAlignment="1" applyBorder="1" applyFont="1" applyNumberFormat="1">
      <alignment horizontal="center" readingOrder="0"/>
    </xf>
    <xf borderId="6" fillId="0" fontId="8" numFmtId="2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8" numFmtId="1" xfId="0" applyAlignment="1" applyFont="1" applyNumberFormat="1">
      <alignment horizontal="center" vertical="center"/>
    </xf>
    <xf borderId="0" fillId="12" fontId="8" numFmtId="1" xfId="0" applyAlignment="1" applyFont="1" applyNumberForma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7" fillId="0" fontId="8" numFmtId="1" xfId="0" applyAlignment="1" applyBorder="1" applyFont="1" applyNumberFormat="1">
      <alignment horizontal="center" readingOrder="0" vertical="center"/>
    </xf>
    <xf borderId="7" fillId="0" fontId="8" numFmtId="2" xfId="0" applyAlignment="1" applyBorder="1" applyFont="1" applyNumberFormat="1">
      <alignment horizontal="center" vertical="center"/>
    </xf>
    <xf borderId="7" fillId="0" fontId="8" numFmtId="164" xfId="0" applyAlignment="1" applyBorder="1" applyFont="1" applyNumberForma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2" fontId="8" numFmtId="1" xfId="0" applyAlignment="1" applyBorder="1" applyFont="1" applyNumberFormat="1">
      <alignment horizontal="center" readingOrder="0" vertical="center"/>
    </xf>
    <xf borderId="9" fillId="2" fontId="8" numFmtId="2" xfId="0" applyAlignment="1" applyBorder="1" applyFont="1" applyNumberFormat="1">
      <alignment horizontal="center" vertical="center"/>
    </xf>
    <xf borderId="9" fillId="2" fontId="8" numFmtId="164" xfId="0" applyAlignment="1" applyBorder="1" applyFont="1" applyNumberFormat="1">
      <alignment horizontal="center" readingOrder="0" vertical="center"/>
    </xf>
    <xf borderId="9" fillId="2" fontId="8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center" readingOrder="0" vertical="center"/>
    </xf>
    <xf borderId="4" fillId="12" fontId="8" numFmtId="0" xfId="0" applyAlignment="1" applyBorder="1" applyFont="1">
      <alignment horizontal="center" readingOrder="0" vertical="center"/>
    </xf>
    <xf borderId="12" fillId="2" fontId="8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readingOrder="0" vertical="center"/>
    </xf>
    <xf borderId="4" fillId="12" fontId="8" numFmtId="0" xfId="0" applyAlignment="1" applyBorder="1" applyFont="1">
      <alignment horizontal="center" vertical="center"/>
    </xf>
    <xf borderId="4" fillId="11" fontId="8" numFmtId="0" xfId="0" applyAlignment="1" applyBorder="1" applyFont="1">
      <alignment horizontal="center" vertical="center"/>
    </xf>
    <xf borderId="4" fillId="0" fontId="0" numFmtId="164" xfId="0" applyAlignment="1" applyBorder="1" applyFont="1" applyNumberFormat="1">
      <alignment horizontal="center" readingOrder="0" shrinkToFit="0" vertical="center" wrapText="0"/>
    </xf>
    <xf borderId="0" fillId="2" fontId="5" numFmtId="0" xfId="0" applyAlignment="1" applyFont="1">
      <alignment horizontal="center"/>
    </xf>
    <xf borderId="4" fillId="11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1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13" fillId="2" fontId="8" numFmtId="0" xfId="0" applyAlignment="1" applyBorder="1" applyFont="1">
      <alignment horizontal="center" readingOrder="0" vertical="center"/>
    </xf>
    <xf borderId="14" fillId="11" fontId="8" numFmtId="0" xfId="0" applyAlignment="1" applyBorder="1" applyFont="1">
      <alignment horizontal="center" readingOrder="0" vertical="center"/>
    </xf>
    <xf borderId="14" fillId="2" fontId="8" numFmtId="1" xfId="0" applyAlignment="1" applyBorder="1" applyFont="1" applyNumberFormat="1">
      <alignment horizontal="center" readingOrder="0" vertical="center"/>
    </xf>
    <xf borderId="14" fillId="2" fontId="8" numFmtId="0" xfId="0" applyAlignment="1" applyBorder="1" applyFont="1">
      <alignment horizontal="center" readingOrder="0" vertical="center"/>
    </xf>
    <xf borderId="14" fillId="2" fontId="8" numFmtId="2" xfId="0" applyAlignment="1" applyBorder="1" applyFont="1" applyNumberFormat="1">
      <alignment horizontal="center" vertical="center"/>
    </xf>
    <xf borderId="14" fillId="2" fontId="8" numFmtId="164" xfId="0" applyAlignment="1" applyBorder="1" applyFont="1" applyNumberFormat="1">
      <alignment horizontal="center" readingOrder="0" vertical="center"/>
    </xf>
    <xf borderId="14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vertical="center"/>
    </xf>
    <xf borderId="6" fillId="2" fontId="8" numFmtId="1" xfId="0" applyAlignment="1" applyBorder="1" applyFont="1" applyNumberFormat="1">
      <alignment horizontal="center" readingOrder="0" vertical="center"/>
    </xf>
    <xf borderId="0" fillId="12" fontId="8" numFmtId="0" xfId="0" applyAlignment="1" applyFont="1">
      <alignment horizontal="center"/>
    </xf>
    <xf borderId="6" fillId="2" fontId="8" numFmtId="2" xfId="0" applyAlignment="1" applyBorder="1" applyFont="1" applyNumberFormat="1">
      <alignment horizontal="center" vertical="center"/>
    </xf>
    <xf borderId="6" fillId="2" fontId="8" numFmtId="164" xfId="0" applyAlignment="1" applyBorder="1" applyFont="1" applyNumberFormat="1">
      <alignment horizontal="center" readingOrder="0" vertical="center"/>
    </xf>
    <xf borderId="6" fillId="2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/>
    </xf>
    <xf borderId="0" fillId="2" fontId="8" numFmtId="164" xfId="0" applyAlignment="1" applyFont="1" applyNumberFormat="1">
      <alignment horizontal="center"/>
    </xf>
    <xf borderId="0" fillId="2" fontId="12" numFmtId="0" xfId="0" applyFont="1"/>
    <xf borderId="0" fillId="10" fontId="8" numFmtId="0" xfId="0" applyAlignment="1" applyFont="1">
      <alignment horizontal="center" vertical="center"/>
    </xf>
    <xf borderId="5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vertical="center"/>
    </xf>
    <xf borderId="7" fillId="2" fontId="8" numFmtId="1" xfId="0" applyAlignment="1" applyBorder="1" applyFont="1" applyNumberFormat="1">
      <alignment horizontal="center" readingOrder="0" vertical="center"/>
    </xf>
    <xf borderId="7" fillId="2" fontId="8" numFmtId="0" xfId="0" applyAlignment="1" applyBorder="1" applyFont="1">
      <alignment horizontal="center" readingOrder="0" vertical="center"/>
    </xf>
    <xf borderId="7" fillId="2" fontId="8" numFmtId="2" xfId="0" applyAlignment="1" applyBorder="1" applyFont="1" applyNumberFormat="1">
      <alignment horizontal="center" vertical="center"/>
    </xf>
    <xf borderId="7" fillId="2" fontId="8" numFmtId="164" xfId="0" applyAlignment="1" applyBorder="1" applyFont="1" applyNumberFormat="1">
      <alignment horizontal="center" readingOrder="0" vertical="center"/>
    </xf>
    <xf borderId="7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center" vertical="center"/>
    </xf>
    <xf borderId="4" fillId="2" fontId="8" numFmtId="1" xfId="0" applyAlignment="1" applyBorder="1" applyFont="1" applyNumberFormat="1">
      <alignment horizontal="center" vertical="center"/>
    </xf>
    <xf borderId="17" fillId="2" fontId="8" numFmtId="0" xfId="0" applyAlignment="1" applyBorder="1" applyFont="1">
      <alignment horizontal="center" readingOrder="0" vertical="center"/>
    </xf>
    <xf borderId="18" fillId="2" fontId="8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0" fillId="13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0" fillId="0" fontId="19" numFmtId="2" xfId="0" applyAlignment="1" applyFont="1" applyNumberFormat="1">
      <alignment vertical="center"/>
    </xf>
    <xf borderId="0" fillId="0" fontId="19" numFmtId="1" xfId="0" applyAlignment="1" applyFont="1" applyNumberFormat="1">
      <alignment vertical="center"/>
    </xf>
    <xf borderId="0" fillId="0" fontId="19" numFmtId="167" xfId="0" applyAlignment="1" applyFont="1" applyNumberFormat="1">
      <alignment vertical="center"/>
    </xf>
    <xf borderId="0" fillId="0" fontId="19" numFmtId="0" xfId="0" applyAlignment="1" applyFont="1">
      <alignment shrinkToFit="0" vertical="center" wrapText="1"/>
    </xf>
    <xf borderId="13" fillId="2" fontId="8" numFmtId="0" xfId="0" applyAlignment="1" applyBorder="1" applyFont="1">
      <alignment horizontal="center" vertical="center"/>
    </xf>
    <xf borderId="14" fillId="2" fontId="8" numFmtId="0" xfId="0" applyAlignment="1" applyBorder="1" applyFont="1">
      <alignment horizontal="center" vertical="center"/>
    </xf>
    <xf borderId="19" fillId="2" fontId="8" numFmtId="0" xfId="0" applyAlignment="1" applyBorder="1" applyFont="1">
      <alignment horizontal="center" readingOrder="0" vertical="center"/>
    </xf>
    <xf borderId="20" fillId="2" fontId="8" numFmtId="0" xfId="0" applyAlignment="1" applyBorder="1" applyFont="1">
      <alignment horizontal="center" readingOrder="0" vertical="center"/>
    </xf>
    <xf borderId="11" fillId="10" fontId="8" numFmtId="0" xfId="0" applyAlignment="1" applyBorder="1" applyFont="1">
      <alignment horizontal="center" readingOrder="0" vertical="center"/>
    </xf>
    <xf borderId="11" fillId="10" fontId="8" numFmtId="0" xfId="0" applyAlignment="1" applyBorder="1" applyFont="1">
      <alignment horizontal="center" vertical="center"/>
    </xf>
    <xf borderId="11" fillId="12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12" fillId="0" fontId="8" numFmtId="0" xfId="0" applyAlignment="1" applyBorder="1" applyFont="1">
      <alignment horizontal="center" readingOrder="0" vertical="center"/>
    </xf>
    <xf borderId="0" fillId="2" fontId="8" numFmtId="165" xfId="0" applyAlignment="1" applyFont="1" applyNumberFormat="1">
      <alignment horizontal="center" vertical="center"/>
    </xf>
    <xf borderId="0" fillId="2" fontId="8" numFmtId="164" xfId="0" applyAlignment="1" applyFont="1" applyNumberFormat="1">
      <alignment horizontal="center" vertical="center"/>
    </xf>
    <xf borderId="0" fillId="2" fontId="8" numFmtId="164" xfId="0" applyAlignment="1" applyFont="1" applyNumberFormat="1">
      <alignment horizontal="center" readingOrder="0" vertical="center"/>
    </xf>
    <xf borderId="0" fillId="2" fontId="8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8">
    <tableStyle count="2" pivot="0" name="Défenseurs-style">
      <tableStyleElement dxfId="1" type="firstRowStripe"/>
      <tableStyleElement dxfId="2" type="secondRowStripe"/>
    </tableStyle>
    <tableStyle count="2" pivot="0" name="Attaquants-style">
      <tableStyleElement dxfId="1" type="firstRowStripe"/>
      <tableStyleElement dxfId="2" type="secondRowStripe"/>
    </tableStyle>
    <tableStyle count="2" pivot="0" name="Attaquants-style 2">
      <tableStyleElement dxfId="1" type="firstRowStripe"/>
      <tableStyleElement dxfId="2" type="secondRowStripe"/>
    </tableStyle>
    <tableStyle count="2" pivot="0" name="Attaquants-style 3">
      <tableStyleElement dxfId="2" type="firstRowStripe"/>
      <tableStyleElement dxfId="1" type="secondRowStripe"/>
    </tableStyle>
    <tableStyle count="2" pivot="0" name="Attaquants-style 4">
      <tableStyleElement dxfId="1" type="firstRowStripe"/>
      <tableStyleElement dxfId="2" type="secondRowStripe"/>
    </tableStyle>
    <tableStyle count="2" pivot="0" name="Attaquants-style 5">
      <tableStyleElement dxfId="1" type="firstRowStripe"/>
      <tableStyleElement dxfId="2" type="secondRowStripe"/>
    </tableStyle>
    <tableStyle count="2" pivot="0" name="Attaquants-style 6">
      <tableStyleElement dxfId="2" type="firstRowStripe"/>
      <tableStyleElement dxfId="1" type="secondRowStripe"/>
    </tableStyle>
    <tableStyle count="2" pivot="0" name="Attaquants-style 7">
      <tableStyleElement dxfId="2" type="firstRowStripe"/>
      <tableStyleElement dxfId="1" type="secondRowStripe"/>
    </tableStyle>
    <tableStyle count="2" pivot="0" name="Attaquants-style 8">
      <tableStyleElement dxfId="2" type="firstRowStripe"/>
      <tableStyleElement dxfId="1" type="secondRowStripe"/>
    </tableStyle>
    <tableStyle count="2" pivot="0" name="Attaquants-style 9">
      <tableStyleElement dxfId="1" type="firstRowStripe"/>
      <tableStyleElement dxfId="2" type="secondRowStripe"/>
    </tableStyle>
    <tableStyle count="2" pivot="0" name="Attaquants-style 10">
      <tableStyleElement dxfId="2" type="firstRowStripe"/>
      <tableStyleElement dxfId="1" type="secondRowStripe"/>
    </tableStyle>
    <tableStyle count="2" pivot="0" name="Attaquants-style 11">
      <tableStyleElement dxfId="2" type="firstRowStripe"/>
      <tableStyleElement dxfId="1" type="secondRowStripe"/>
    </tableStyle>
    <tableStyle count="2" pivot="0" name="Attaquants-style 12">
      <tableStyleElement dxfId="1" type="firstRowStripe"/>
      <tableStyleElement dxfId="2" type="secondRowStripe"/>
    </tableStyle>
    <tableStyle count="2" pivot="0" name="Attaquants-style 13">
      <tableStyleElement dxfId="1" type="firstRowStripe"/>
      <tableStyleElement dxfId="2" type="secondRowStripe"/>
    </tableStyle>
    <tableStyle count="2" pivot="0" name="Attaquants-style 14">
      <tableStyleElement dxfId="2" type="firstRowStripe"/>
      <tableStyleElement dxfId="1" type="secondRowStripe"/>
    </tableStyle>
    <tableStyle count="2" pivot="0" name="Attaquants-style 15">
      <tableStyleElement dxfId="1" type="firstRowStripe"/>
      <tableStyleElement dxfId="2" type="secondRowStripe"/>
    </tableStyle>
    <tableStyle count="3" pivot="0" name="Copie de Attaquants_CHAT-style">
      <tableStyleElement dxfId="6" type="headerRow"/>
      <tableStyleElement dxfId="1" type="firstRowStripe"/>
      <tableStyleElement dxfId="2" type="secondRowStripe"/>
    </tableStyle>
    <tableStyle count="3" pivot="0" name="Copie de Défenseurs_CHAT-style">
      <tableStyleElement dxfId="6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50:L156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" showColumnStripes="0" showFirstColumn="1" showLastColumn="1" showRowStripes="1"/>
</table>
</file>

<file path=xl/tables/table2.xml><?xml version="1.0" encoding="utf-8"?>
<table xmlns="http://schemas.openxmlformats.org/spreadsheetml/2006/main" headerRowCount="0" ref="B157:N164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65:L171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72:M180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81:L186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87:M19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94:N200" displayName="Table_8" name="Table_8" id="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7" showColumnStripes="0" showFirstColumn="1" showLastColumn="1" showRowStripes="1"/>
</table>
</file>

<file path=xl/tables/table8.xml><?xml version="1.0" encoding="utf-8"?>
<table xmlns="http://schemas.openxmlformats.org/spreadsheetml/2006/main" headerRowCount="0" ref="B201:L207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08:N216" displayName="Table_10" name="Table_10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217:M225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226:M232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233:L239" displayName="Table_13" name="Table_13" id="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240:N250" displayName="Table_14" name="Table_14" id="1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251:L259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260:M267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106:L10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éfenseurs-style" showColumnStripes="0" showFirstColumn="1" showLastColumn="1" showRowStripes="1"/>
</table>
</file>

<file path=xl/tables/table17.xml><?xml version="1.0" encoding="utf-8"?>
<table xmlns="http://schemas.openxmlformats.org/spreadsheetml/2006/main" ref="A1:AG262" displayName="Table_17" name="Table_17" id="17">
  <tableColumns count="33">
    <tableColumn name="Team" id="1"/>
    <tableColumn name="Joueur" id="2"/>
    <tableColumn name="Pos" id="3"/>
    <tableColumn name="Âge" id="4"/>
    <tableColumn name="Lance" id="5"/>
    <tableColumn name="GP" id="6"/>
    <tableColumn name="G" id="7"/>
    <tableColumn name="A" id="8"/>
    <tableColumn name="PTS" id="9"/>
    <tableColumn name="PTS/G" id="10"/>
    <tableColumn name="PACE 84" id="11"/>
    <tableColumn name="SOG" id="12"/>
    <tableColumn name="SOG/G" id="13"/>
    <tableColumn name="S%" id="14"/>
    <tableColumn name="PPP" id="15"/>
    <tableColumn name="PPP/GP" id="16"/>
    <tableColumn name="PPTOI" id="17"/>
    <tableColumn name="PP%" id="18"/>
    <tableColumn name="TOI" id="19"/>
    <tableColumn name="PIM" id="20"/>
    <tableColumn name="HITS" id="21"/>
    <tableColumn name="HITS/GP" id="22"/>
    <tableColumn name="BLKS" id="23"/>
    <tableColumn name="BLKS/GP" id="24"/>
    <tableColumn name="FOW" id="25"/>
    <tableColumn name="FOW%" id="26"/>
    <tableColumn name="SHP" id="27"/>
    <tableColumn name="SH%" id="28"/>
    <tableColumn name="Band-aid" id="29"/>
    <tableColumn name="Risqué" id="30"/>
    <tableColumn name="Upside" id="31"/>
    <tableColumn name="Salaire" id="32"/>
    <tableColumn name="Notes" id="33"/>
  </tableColumns>
  <tableStyleInfo name="Copie de Attaquants_CHAT-style" showColumnStripes="0" showFirstColumn="1" showLastColumn="1" showRowStripes="1"/>
</table>
</file>

<file path=xl/tables/table18.xml><?xml version="1.0" encoding="utf-8"?>
<table xmlns="http://schemas.openxmlformats.org/spreadsheetml/2006/main" ref="A1:AG111" displayName="Table_18" name="Table_18" id="18">
  <tableColumns count="33">
    <tableColumn name="Team" id="1"/>
    <tableColumn name="Joueur" id="2"/>
    <tableColumn name="Pos" id="3"/>
    <tableColumn name="Âge" id="4"/>
    <tableColumn name="Lance" id="5"/>
    <tableColumn name="GP" id="6"/>
    <tableColumn name="G" id="7"/>
    <tableColumn name="A" id="8"/>
    <tableColumn name="PTS" id="9"/>
    <tableColumn name="PTS/G" id="10"/>
    <tableColumn name="PACE 84" id="11"/>
    <tableColumn name="SOG" id="12"/>
    <tableColumn name="SOG/G" id="13"/>
    <tableColumn name="S%" id="14"/>
    <tableColumn name="PPP" id="15"/>
    <tableColumn name="PPP/GP" id="16"/>
    <tableColumn name="PPTOI" id="17"/>
    <tableColumn name="PP%" id="18"/>
    <tableColumn name="TOI" id="19"/>
    <tableColumn name="PIM" id="20"/>
    <tableColumn name="HITS" id="21"/>
    <tableColumn name="HITS/GP" id="22"/>
    <tableColumn name="BLKS" id="23"/>
    <tableColumn name="BLKS/GP" id="24"/>
    <tableColumn name="FOW" id="25"/>
    <tableColumn name="FOW%" id="26"/>
    <tableColumn name="SHP" id="27"/>
    <tableColumn name="SH%" id="28"/>
    <tableColumn name="Band-aid" id="29"/>
    <tableColumn name="Risqué" id="30"/>
    <tableColumn name="Upside" id="31"/>
    <tableColumn name="Salaire" id="32"/>
    <tableColumn name="Notes" id="33"/>
  </tableColumns>
  <tableStyleInfo name="Copie de Défenseurs_CH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18.25"/>
    <col customWidth="1" min="3" max="3" width="17.0"/>
    <col customWidth="1" min="4" max="4" width="4.0"/>
    <col customWidth="1" min="5" max="5" width="6.13"/>
    <col customWidth="1" min="6" max="6" width="6.25"/>
    <col customWidth="1" min="7" max="7" width="3.0"/>
    <col customWidth="1" min="8" max="9" width="2.88"/>
    <col customWidth="1" min="10" max="10" width="3.63"/>
    <col customWidth="1" min="11" max="11" width="6.5"/>
    <col customWidth="1" min="12" max="12" width="10.75"/>
    <col customWidth="1" min="13" max="13" width="8.13"/>
    <col customWidth="1" min="14" max="15" width="7.63"/>
    <col customWidth="1" min="16" max="16" width="77.13"/>
    <col hidden="1" min="17" max="19" width="12.63"/>
    <col customWidth="1" min="20" max="20" width="2.88"/>
    <col customWidth="1" min="22" max="22" width="14.38"/>
    <col customWidth="1" min="23" max="23" width="20.88"/>
  </cols>
  <sheetData>
    <row r="1">
      <c r="A1" s="27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>
      <c r="A2" s="42" t="s">
        <v>2</v>
      </c>
      <c r="B2" s="42" t="s">
        <v>4</v>
      </c>
      <c r="C2" s="45" t="s">
        <v>3</v>
      </c>
      <c r="D2" s="45" t="s">
        <v>5</v>
      </c>
      <c r="E2" s="42" t="s">
        <v>8</v>
      </c>
      <c r="F2" s="42" t="s">
        <v>6</v>
      </c>
      <c r="G2" s="42" t="s">
        <v>32</v>
      </c>
      <c r="H2" s="42" t="s">
        <v>35</v>
      </c>
      <c r="I2" s="42" t="s">
        <v>36</v>
      </c>
      <c r="J2" s="42" t="s">
        <v>37</v>
      </c>
      <c r="K2" s="42" t="s">
        <v>38</v>
      </c>
      <c r="L2" s="56" t="s">
        <v>26</v>
      </c>
      <c r="M2" s="42" t="s">
        <v>31</v>
      </c>
      <c r="N2" s="42" t="s">
        <v>33</v>
      </c>
      <c r="O2" s="42" t="s">
        <v>34</v>
      </c>
      <c r="P2" s="42" t="s">
        <v>30</v>
      </c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>
      <c r="A3" s="58">
        <v>1.0</v>
      </c>
      <c r="B3" s="59" t="s">
        <v>56</v>
      </c>
      <c r="C3" s="60" t="s">
        <v>46</v>
      </c>
      <c r="D3" s="61">
        <v>29.0</v>
      </c>
      <c r="E3" s="63" t="s">
        <v>59</v>
      </c>
      <c r="F3" s="59" t="s">
        <v>49</v>
      </c>
      <c r="G3" s="61">
        <v>84.0</v>
      </c>
      <c r="H3" s="61">
        <v>46.0</v>
      </c>
      <c r="I3" s="61">
        <v>92.0</v>
      </c>
      <c r="J3" s="61">
        <f t="shared" ref="J3:J267" si="1">H3+I3</f>
        <v>138</v>
      </c>
      <c r="K3" s="65">
        <f t="shared" ref="K3:K267" si="2">J3/G3</f>
        <v>1.642857143</v>
      </c>
      <c r="L3" s="66">
        <v>1.25E7</v>
      </c>
      <c r="M3" s="63"/>
      <c r="N3" s="63"/>
      <c r="O3" s="58">
        <v>150.0</v>
      </c>
      <c r="P3" s="58" t="s">
        <v>72</v>
      </c>
      <c r="Q3" s="38"/>
      <c r="R3" s="70">
        <f t="shared" ref="R3:R266" si="3">O3-J3</f>
        <v>12</v>
      </c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>
      <c r="A4" s="58">
        <v>2.0</v>
      </c>
      <c r="B4" s="59" t="s">
        <v>78</v>
      </c>
      <c r="C4" s="60" t="s">
        <v>46</v>
      </c>
      <c r="D4" s="61">
        <v>31.0</v>
      </c>
      <c r="E4" s="63" t="s">
        <v>59</v>
      </c>
      <c r="F4" s="59" t="s">
        <v>64</v>
      </c>
      <c r="G4" s="61">
        <v>80.0</v>
      </c>
      <c r="H4" s="61">
        <v>48.0</v>
      </c>
      <c r="I4" s="61">
        <v>75.0</v>
      </c>
      <c r="J4" s="61">
        <f t="shared" si="1"/>
        <v>123</v>
      </c>
      <c r="K4" s="65">
        <f t="shared" si="2"/>
        <v>1.5375</v>
      </c>
      <c r="L4" s="66">
        <v>1.2604E7</v>
      </c>
      <c r="M4" s="63"/>
      <c r="N4" s="63"/>
      <c r="O4" s="58">
        <v>140.0</v>
      </c>
      <c r="P4" s="58" t="s">
        <v>89</v>
      </c>
      <c r="Q4" s="38"/>
      <c r="R4" s="70">
        <f t="shared" si="3"/>
        <v>17</v>
      </c>
      <c r="S4" s="38"/>
      <c r="T4" s="38"/>
      <c r="U4" s="38"/>
      <c r="V4" s="76" t="s">
        <v>90</v>
      </c>
      <c r="W4" s="76" t="s">
        <v>91</v>
      </c>
      <c r="X4" s="38"/>
      <c r="Y4" s="38"/>
      <c r="Z4" s="38"/>
      <c r="AA4" s="38"/>
      <c r="AB4" s="38"/>
      <c r="AC4" s="38"/>
      <c r="AD4" s="38"/>
    </row>
    <row r="5">
      <c r="A5" s="77">
        <v>3.0</v>
      </c>
      <c r="B5" s="77" t="s">
        <v>94</v>
      </c>
      <c r="C5" s="60" t="s">
        <v>46</v>
      </c>
      <c r="D5" s="61">
        <v>20.0</v>
      </c>
      <c r="E5" s="58" t="s">
        <v>95</v>
      </c>
      <c r="F5" s="58" t="s">
        <v>96</v>
      </c>
      <c r="G5" s="58">
        <v>84.0</v>
      </c>
      <c r="H5" s="58">
        <v>49.0</v>
      </c>
      <c r="I5" s="58">
        <v>78.0</v>
      </c>
      <c r="J5" s="58">
        <f t="shared" si="1"/>
        <v>127</v>
      </c>
      <c r="K5" s="65">
        <f t="shared" si="2"/>
        <v>1.511904762</v>
      </c>
      <c r="L5" s="66">
        <v>975000.0</v>
      </c>
      <c r="M5" s="63"/>
      <c r="N5" s="63"/>
      <c r="O5" s="58">
        <v>150.0</v>
      </c>
      <c r="P5" s="58" t="s">
        <v>101</v>
      </c>
      <c r="Q5" s="38"/>
      <c r="R5" s="38">
        <f t="shared" si="3"/>
        <v>23</v>
      </c>
      <c r="S5" s="38"/>
      <c r="T5" s="76">
        <v>1.0</v>
      </c>
      <c r="U5" s="80" t="s">
        <v>60</v>
      </c>
      <c r="V5" s="76" t="s">
        <v>103</v>
      </c>
      <c r="W5" s="76" t="s">
        <v>106</v>
      </c>
      <c r="X5" s="38"/>
      <c r="Y5" s="38"/>
      <c r="Z5" s="38"/>
      <c r="AA5" s="38"/>
      <c r="AB5" s="38"/>
      <c r="AC5" s="38"/>
      <c r="AD5" s="38"/>
    </row>
    <row r="6">
      <c r="A6" s="77">
        <v>4.0</v>
      </c>
      <c r="B6" s="83" t="s">
        <v>108</v>
      </c>
      <c r="C6" s="60" t="s">
        <v>46</v>
      </c>
      <c r="D6" s="61">
        <v>30.0</v>
      </c>
      <c r="E6" s="63" t="s">
        <v>59</v>
      </c>
      <c r="F6" s="59" t="s">
        <v>49</v>
      </c>
      <c r="G6" s="61">
        <v>70.0</v>
      </c>
      <c r="H6" s="61">
        <v>38.0</v>
      </c>
      <c r="I6" s="61">
        <v>64.0</v>
      </c>
      <c r="J6" s="61">
        <f t="shared" si="1"/>
        <v>102</v>
      </c>
      <c r="K6" s="65">
        <f t="shared" si="2"/>
        <v>1.457142857</v>
      </c>
      <c r="L6" s="66">
        <v>1.4E7</v>
      </c>
      <c r="M6" s="63"/>
      <c r="N6" s="63"/>
      <c r="O6" s="58">
        <v>120.0</v>
      </c>
      <c r="P6" s="58" t="s">
        <v>113</v>
      </c>
      <c r="Q6" s="38"/>
      <c r="R6" s="70">
        <f t="shared" si="3"/>
        <v>18</v>
      </c>
      <c r="S6" s="38"/>
      <c r="T6" s="76">
        <v>2.0</v>
      </c>
      <c r="U6" s="80" t="s">
        <v>67</v>
      </c>
      <c r="V6" s="76" t="s">
        <v>117</v>
      </c>
      <c r="W6" s="76" t="s">
        <v>118</v>
      </c>
      <c r="X6" s="38"/>
      <c r="Y6" s="38"/>
      <c r="Z6" s="38"/>
      <c r="AA6" s="38"/>
      <c r="AB6" s="38"/>
      <c r="AC6" s="38"/>
      <c r="AD6" s="38"/>
    </row>
    <row r="7">
      <c r="A7" s="77">
        <v>5.0</v>
      </c>
      <c r="B7" s="77" t="s">
        <v>119</v>
      </c>
      <c r="C7" s="92" t="s">
        <v>46</v>
      </c>
      <c r="D7" s="94">
        <v>33.0</v>
      </c>
      <c r="E7" s="77" t="s">
        <v>123</v>
      </c>
      <c r="F7" s="77" t="s">
        <v>124</v>
      </c>
      <c r="G7" s="77">
        <v>82.0</v>
      </c>
      <c r="H7" s="77">
        <v>34.0</v>
      </c>
      <c r="I7" s="77">
        <v>84.0</v>
      </c>
      <c r="J7" s="77">
        <f t="shared" si="1"/>
        <v>118</v>
      </c>
      <c r="K7" s="97">
        <f t="shared" si="2"/>
        <v>1.43902439</v>
      </c>
      <c r="L7" s="98">
        <v>9500000.0</v>
      </c>
      <c r="M7" s="99"/>
      <c r="N7" s="99"/>
      <c r="O7" s="77">
        <v>135.0</v>
      </c>
      <c r="P7" s="77" t="s">
        <v>130</v>
      </c>
      <c r="Q7" s="38"/>
      <c r="R7" s="38">
        <f t="shared" si="3"/>
        <v>17</v>
      </c>
      <c r="S7" s="38"/>
      <c r="T7" s="76">
        <v>3.0</v>
      </c>
      <c r="U7" s="80" t="s">
        <v>82</v>
      </c>
      <c r="V7" s="76" t="s">
        <v>132</v>
      </c>
      <c r="W7" s="76" t="s">
        <v>133</v>
      </c>
      <c r="X7" s="38"/>
      <c r="Y7" s="38"/>
      <c r="Z7" s="38"/>
      <c r="AA7" s="38"/>
      <c r="AB7" s="38"/>
      <c r="AC7" s="38"/>
      <c r="AD7" s="38"/>
    </row>
    <row r="8">
      <c r="A8" s="77">
        <v>6.0</v>
      </c>
      <c r="B8" s="83" t="s">
        <v>134</v>
      </c>
      <c r="C8" s="92" t="s">
        <v>46</v>
      </c>
      <c r="D8" s="94">
        <v>30.0</v>
      </c>
      <c r="E8" s="77" t="s">
        <v>123</v>
      </c>
      <c r="F8" s="83" t="s">
        <v>83</v>
      </c>
      <c r="G8" s="94">
        <v>84.0</v>
      </c>
      <c r="H8" s="94">
        <v>35.0</v>
      </c>
      <c r="I8" s="94">
        <v>71.0</v>
      </c>
      <c r="J8" s="94">
        <f t="shared" si="1"/>
        <v>106</v>
      </c>
      <c r="K8" s="97">
        <f t="shared" si="2"/>
        <v>1.261904762</v>
      </c>
      <c r="L8" s="98">
        <v>1.125E7</v>
      </c>
      <c r="M8" s="99"/>
      <c r="N8" s="99"/>
      <c r="O8" s="77">
        <v>115.0</v>
      </c>
      <c r="P8" s="77" t="s">
        <v>138</v>
      </c>
      <c r="Q8" s="38"/>
      <c r="R8" s="70">
        <f t="shared" si="3"/>
        <v>9</v>
      </c>
      <c r="S8" s="38"/>
      <c r="T8" s="76">
        <v>4.0</v>
      </c>
      <c r="U8" s="80" t="s">
        <v>93</v>
      </c>
      <c r="V8" s="76" t="s">
        <v>139</v>
      </c>
      <c r="W8" s="76" t="s">
        <v>140</v>
      </c>
      <c r="X8" s="38"/>
      <c r="Y8" s="38"/>
      <c r="Z8" s="38"/>
      <c r="AA8" s="38"/>
      <c r="AB8" s="38"/>
      <c r="AC8" s="38"/>
      <c r="AD8" s="38"/>
    </row>
    <row r="9">
      <c r="A9" s="77">
        <v>7.0</v>
      </c>
      <c r="B9" s="83" t="s">
        <v>142</v>
      </c>
      <c r="C9" s="94" t="s">
        <v>86</v>
      </c>
      <c r="D9" s="94">
        <v>27.0</v>
      </c>
      <c r="E9" s="99" t="s">
        <v>59</v>
      </c>
      <c r="F9" s="83" t="s">
        <v>109</v>
      </c>
      <c r="G9" s="94">
        <v>84.0</v>
      </c>
      <c r="H9" s="94">
        <v>31.0</v>
      </c>
      <c r="I9" s="94">
        <v>70.0</v>
      </c>
      <c r="J9" s="94">
        <f t="shared" si="1"/>
        <v>101</v>
      </c>
      <c r="K9" s="97">
        <f t="shared" si="2"/>
        <v>1.202380952</v>
      </c>
      <c r="L9" s="98">
        <v>7875000.0</v>
      </c>
      <c r="M9" s="99"/>
      <c r="N9" s="99"/>
      <c r="O9" s="77">
        <v>110.0</v>
      </c>
      <c r="P9" s="77" t="s">
        <v>147</v>
      </c>
      <c r="Q9" s="38"/>
      <c r="R9" s="70">
        <f t="shared" si="3"/>
        <v>9</v>
      </c>
      <c r="S9" s="38"/>
      <c r="T9" s="76">
        <v>5.0</v>
      </c>
      <c r="U9" s="80" t="s">
        <v>148</v>
      </c>
      <c r="V9" s="38"/>
      <c r="W9" s="38"/>
      <c r="X9" s="38"/>
      <c r="Y9" s="38"/>
      <c r="Z9" s="38"/>
      <c r="AA9" s="38"/>
      <c r="AB9" s="38"/>
      <c r="AC9" s="38"/>
      <c r="AD9" s="38"/>
    </row>
    <row r="10">
      <c r="A10" s="77">
        <v>8.0</v>
      </c>
      <c r="B10" s="77" t="s">
        <v>151</v>
      </c>
      <c r="C10" s="94" t="s">
        <v>86</v>
      </c>
      <c r="D10" s="94">
        <v>25.0</v>
      </c>
      <c r="E10" s="77" t="s">
        <v>59</v>
      </c>
      <c r="F10" s="77" t="s">
        <v>153</v>
      </c>
      <c r="G10" s="77">
        <v>60.0</v>
      </c>
      <c r="H10" s="77">
        <v>25.0</v>
      </c>
      <c r="I10" s="77">
        <v>47.0</v>
      </c>
      <c r="J10" s="77">
        <f t="shared" si="1"/>
        <v>72</v>
      </c>
      <c r="K10" s="97">
        <f t="shared" si="2"/>
        <v>1.2</v>
      </c>
      <c r="L10" s="98">
        <v>8000000.0</v>
      </c>
      <c r="M10" s="77" t="s">
        <v>77</v>
      </c>
      <c r="N10" s="77"/>
      <c r="O10" s="77">
        <v>110.0</v>
      </c>
      <c r="P10" s="77" t="s">
        <v>158</v>
      </c>
      <c r="Q10" s="38"/>
      <c r="R10" s="38">
        <f t="shared" si="3"/>
        <v>38</v>
      </c>
      <c r="S10" s="38"/>
      <c r="T10" s="76">
        <v>6.0</v>
      </c>
      <c r="U10" s="80" t="s">
        <v>159</v>
      </c>
      <c r="V10" s="38"/>
      <c r="W10" s="38"/>
      <c r="X10" s="38"/>
      <c r="Y10" s="38"/>
      <c r="Z10" s="38"/>
      <c r="AA10" s="38"/>
      <c r="AB10" s="38"/>
      <c r="AC10" s="38"/>
      <c r="AD10" s="38"/>
    </row>
    <row r="11">
      <c r="A11" s="77">
        <v>9.0</v>
      </c>
      <c r="B11" s="83" t="s">
        <v>162</v>
      </c>
      <c r="C11" s="94" t="s">
        <v>86</v>
      </c>
      <c r="D11" s="94">
        <v>29.0</v>
      </c>
      <c r="E11" s="77" t="s">
        <v>165</v>
      </c>
      <c r="F11" s="83" t="s">
        <v>54</v>
      </c>
      <c r="G11" s="94">
        <v>70.0</v>
      </c>
      <c r="H11" s="94">
        <v>40.0</v>
      </c>
      <c r="I11" s="94">
        <v>44.0</v>
      </c>
      <c r="J11" s="94">
        <f t="shared" si="1"/>
        <v>84</v>
      </c>
      <c r="K11" s="97">
        <f t="shared" si="2"/>
        <v>1.2</v>
      </c>
      <c r="L11" s="98">
        <v>1.7E7</v>
      </c>
      <c r="M11" s="77" t="s">
        <v>77</v>
      </c>
      <c r="N11" s="130"/>
      <c r="O11" s="77">
        <v>110.0</v>
      </c>
      <c r="P11" s="77" t="s">
        <v>172</v>
      </c>
      <c r="Q11" s="38"/>
      <c r="R11" s="70">
        <f t="shared" si="3"/>
        <v>26</v>
      </c>
      <c r="S11" s="38"/>
      <c r="T11" s="76">
        <v>7.0</v>
      </c>
      <c r="U11" s="80" t="s">
        <v>136</v>
      </c>
      <c r="V11" s="38"/>
      <c r="W11" s="38"/>
      <c r="X11" s="38"/>
      <c r="Y11" s="38"/>
      <c r="Z11" s="38"/>
      <c r="AA11" s="38"/>
      <c r="AB11" s="38"/>
      <c r="AC11" s="38"/>
      <c r="AD11" s="38"/>
    </row>
    <row r="12">
      <c r="A12" s="77">
        <v>10.0</v>
      </c>
      <c r="B12" s="77" t="s">
        <v>175</v>
      </c>
      <c r="C12" s="94" t="s">
        <v>86</v>
      </c>
      <c r="D12" s="94">
        <v>30.0</v>
      </c>
      <c r="E12" s="77" t="s">
        <v>59</v>
      </c>
      <c r="F12" s="77" t="s">
        <v>170</v>
      </c>
      <c r="G12" s="77">
        <v>75.0</v>
      </c>
      <c r="H12" s="77">
        <v>37.0</v>
      </c>
      <c r="I12" s="77">
        <v>53.0</v>
      </c>
      <c r="J12" s="77">
        <f t="shared" si="1"/>
        <v>90</v>
      </c>
      <c r="K12" s="97">
        <f t="shared" si="2"/>
        <v>1.2</v>
      </c>
      <c r="L12" s="98">
        <v>1.35E7</v>
      </c>
      <c r="M12" s="77" t="s">
        <v>77</v>
      </c>
      <c r="N12" s="77"/>
      <c r="O12" s="77">
        <v>110.0</v>
      </c>
      <c r="P12" s="77" t="s">
        <v>180</v>
      </c>
      <c r="Q12" s="38"/>
      <c r="R12" s="38">
        <f t="shared" si="3"/>
        <v>20</v>
      </c>
      <c r="S12" s="38"/>
      <c r="T12" s="76">
        <v>8.0</v>
      </c>
      <c r="U12" s="80" t="s">
        <v>182</v>
      </c>
      <c r="V12" s="38"/>
      <c r="W12" s="38"/>
      <c r="X12" s="38"/>
      <c r="Y12" s="38"/>
      <c r="Z12" s="38"/>
      <c r="AA12" s="38"/>
      <c r="AB12" s="38"/>
      <c r="AC12" s="38"/>
      <c r="AD12" s="38"/>
    </row>
    <row r="13">
      <c r="A13" s="77">
        <v>11.0</v>
      </c>
      <c r="B13" s="77" t="s">
        <v>186</v>
      </c>
      <c r="C13" s="94" t="s">
        <v>86</v>
      </c>
      <c r="D13" s="94">
        <v>29.0</v>
      </c>
      <c r="E13" s="77" t="s">
        <v>165</v>
      </c>
      <c r="F13" s="77" t="s">
        <v>71</v>
      </c>
      <c r="G13" s="77">
        <v>84.0</v>
      </c>
      <c r="H13" s="77">
        <v>42.0</v>
      </c>
      <c r="I13" s="77">
        <v>56.0</v>
      </c>
      <c r="J13" s="77">
        <f t="shared" si="1"/>
        <v>98</v>
      </c>
      <c r="K13" s="97">
        <f t="shared" si="2"/>
        <v>1.166666667</v>
      </c>
      <c r="L13" s="98">
        <v>1.2E7</v>
      </c>
      <c r="M13" s="99"/>
      <c r="N13" s="99"/>
      <c r="O13" s="77">
        <v>110.0</v>
      </c>
      <c r="P13" s="77" t="s">
        <v>188</v>
      </c>
      <c r="Q13" s="38"/>
      <c r="R13" s="38">
        <f t="shared" si="3"/>
        <v>12</v>
      </c>
      <c r="S13" s="38"/>
      <c r="T13" s="76">
        <v>9.0</v>
      </c>
      <c r="U13" s="80" t="s">
        <v>190</v>
      </c>
      <c r="V13" s="38"/>
      <c r="W13" s="38"/>
      <c r="X13" s="38"/>
      <c r="Y13" s="38"/>
      <c r="Z13" s="38"/>
      <c r="AA13" s="38"/>
      <c r="AB13" s="38"/>
      <c r="AC13" s="38"/>
      <c r="AD13" s="38"/>
    </row>
    <row r="14">
      <c r="A14" s="77">
        <v>12.0</v>
      </c>
      <c r="B14" s="83" t="s">
        <v>193</v>
      </c>
      <c r="C14" s="94" t="s">
        <v>86</v>
      </c>
      <c r="D14" s="94">
        <v>29.0</v>
      </c>
      <c r="E14" s="77" t="s">
        <v>123</v>
      </c>
      <c r="F14" s="83" t="s">
        <v>43</v>
      </c>
      <c r="G14" s="94">
        <v>84.0</v>
      </c>
      <c r="H14" s="94">
        <v>31.0</v>
      </c>
      <c r="I14" s="94">
        <v>67.0</v>
      </c>
      <c r="J14" s="94">
        <f t="shared" si="1"/>
        <v>98</v>
      </c>
      <c r="K14" s="97">
        <f t="shared" si="2"/>
        <v>1.166666667</v>
      </c>
      <c r="L14" s="98">
        <v>1.2E7</v>
      </c>
      <c r="M14" s="130"/>
      <c r="N14" s="130"/>
      <c r="O14" s="77">
        <v>105.0</v>
      </c>
      <c r="P14" s="77" t="s">
        <v>199</v>
      </c>
      <c r="Q14" s="38"/>
      <c r="R14" s="70">
        <f t="shared" si="3"/>
        <v>7</v>
      </c>
      <c r="S14" s="38"/>
      <c r="T14" s="76">
        <v>10.0</v>
      </c>
      <c r="U14" s="80" t="s">
        <v>144</v>
      </c>
      <c r="V14" s="38"/>
      <c r="W14" s="38"/>
      <c r="X14" s="38"/>
      <c r="Y14" s="38"/>
      <c r="Z14" s="38"/>
      <c r="AA14" s="38"/>
      <c r="AB14" s="38"/>
      <c r="AC14" s="38"/>
      <c r="AD14" s="38"/>
    </row>
    <row r="15">
      <c r="A15" s="77">
        <v>13.0</v>
      </c>
      <c r="B15" s="77" t="s">
        <v>203</v>
      </c>
      <c r="C15" s="94" t="s">
        <v>86</v>
      </c>
      <c r="D15" s="94">
        <v>33.0</v>
      </c>
      <c r="E15" s="77" t="s">
        <v>59</v>
      </c>
      <c r="F15" s="77" t="s">
        <v>71</v>
      </c>
      <c r="G15" s="77">
        <v>84.0</v>
      </c>
      <c r="H15" s="77">
        <v>39.0</v>
      </c>
      <c r="I15" s="77">
        <v>59.0</v>
      </c>
      <c r="J15" s="77">
        <f t="shared" si="1"/>
        <v>98</v>
      </c>
      <c r="K15" s="97">
        <f t="shared" si="2"/>
        <v>1.166666667</v>
      </c>
      <c r="L15" s="98">
        <v>8500000.0</v>
      </c>
      <c r="M15" s="99"/>
      <c r="N15" s="99"/>
      <c r="O15" s="77">
        <v>105.0</v>
      </c>
      <c r="P15" s="77" t="s">
        <v>206</v>
      </c>
      <c r="Q15" s="38"/>
      <c r="R15" s="38">
        <f t="shared" si="3"/>
        <v>7</v>
      </c>
      <c r="S15" s="38"/>
      <c r="T15" s="76">
        <v>11.0</v>
      </c>
      <c r="U15" s="80" t="s">
        <v>150</v>
      </c>
      <c r="V15" s="38"/>
      <c r="W15" s="38"/>
      <c r="X15" s="38"/>
      <c r="Y15" s="38"/>
      <c r="Z15" s="38"/>
      <c r="AA15" s="38"/>
      <c r="AB15" s="38"/>
      <c r="AC15" s="38"/>
      <c r="AD15" s="38"/>
    </row>
    <row r="16">
      <c r="A16" s="77">
        <v>14.0</v>
      </c>
      <c r="B16" s="77" t="s">
        <v>210</v>
      </c>
      <c r="C16" s="94" t="s">
        <v>86</v>
      </c>
      <c r="D16" s="94">
        <v>29.0</v>
      </c>
      <c r="E16" s="77" t="s">
        <v>212</v>
      </c>
      <c r="F16" s="77" t="s">
        <v>170</v>
      </c>
      <c r="G16" s="77">
        <v>82.0</v>
      </c>
      <c r="H16" s="77">
        <v>25.0</v>
      </c>
      <c r="I16" s="77">
        <v>70.0</v>
      </c>
      <c r="J16" s="77">
        <f t="shared" si="1"/>
        <v>95</v>
      </c>
      <c r="K16" s="97">
        <f t="shared" si="2"/>
        <v>1.158536585</v>
      </c>
      <c r="L16" s="98">
        <v>1.2E7</v>
      </c>
      <c r="M16" s="77"/>
      <c r="N16" s="77"/>
      <c r="O16" s="77">
        <v>110.0</v>
      </c>
      <c r="P16" s="77" t="s">
        <v>214</v>
      </c>
      <c r="Q16" s="38"/>
      <c r="R16" s="38">
        <f t="shared" si="3"/>
        <v>15</v>
      </c>
      <c r="S16" s="38"/>
      <c r="T16" s="76"/>
      <c r="U16" s="80"/>
      <c r="V16" s="38"/>
      <c r="W16" s="38"/>
      <c r="X16" s="38"/>
      <c r="Y16" s="38"/>
      <c r="Z16" s="38"/>
      <c r="AA16" s="38"/>
      <c r="AB16" s="38"/>
      <c r="AC16" s="38"/>
      <c r="AD16" s="38"/>
    </row>
    <row r="17">
      <c r="A17" s="77">
        <v>15.0</v>
      </c>
      <c r="B17" s="83" t="s">
        <v>216</v>
      </c>
      <c r="C17" s="94" t="s">
        <v>86</v>
      </c>
      <c r="D17" s="94">
        <v>27.0</v>
      </c>
      <c r="E17" s="77" t="s">
        <v>165</v>
      </c>
      <c r="F17" s="83" t="s">
        <v>43</v>
      </c>
      <c r="G17" s="94">
        <v>84.0</v>
      </c>
      <c r="H17" s="94">
        <v>44.0</v>
      </c>
      <c r="I17" s="94">
        <v>53.0</v>
      </c>
      <c r="J17" s="94">
        <f t="shared" si="1"/>
        <v>97</v>
      </c>
      <c r="K17" s="97">
        <f t="shared" si="2"/>
        <v>1.154761905</v>
      </c>
      <c r="L17" s="98">
        <v>1.2E7</v>
      </c>
      <c r="M17" s="130"/>
      <c r="N17" s="130"/>
      <c r="O17" s="77">
        <v>115.0</v>
      </c>
      <c r="P17" s="77" t="s">
        <v>220</v>
      </c>
      <c r="Q17" s="38"/>
      <c r="R17" s="70">
        <f t="shared" si="3"/>
        <v>18</v>
      </c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>
      <c r="A18" s="77">
        <v>16.0</v>
      </c>
      <c r="B18" s="83" t="s">
        <v>223</v>
      </c>
      <c r="C18" s="94" t="s">
        <v>86</v>
      </c>
      <c r="D18" s="94">
        <v>21.0</v>
      </c>
      <c r="E18" s="99" t="s">
        <v>59</v>
      </c>
      <c r="F18" s="83" t="s">
        <v>225</v>
      </c>
      <c r="G18" s="94">
        <v>67.0</v>
      </c>
      <c r="H18" s="94">
        <v>29.0</v>
      </c>
      <c r="I18" s="94">
        <v>48.0</v>
      </c>
      <c r="J18" s="94">
        <f t="shared" si="1"/>
        <v>77</v>
      </c>
      <c r="K18" s="97">
        <f t="shared" si="2"/>
        <v>1.149253731</v>
      </c>
      <c r="L18" s="98">
        <v>1.5E7</v>
      </c>
      <c r="M18" s="130"/>
      <c r="N18" s="99"/>
      <c r="O18" s="77">
        <v>105.0</v>
      </c>
      <c r="P18" s="77" t="s">
        <v>230</v>
      </c>
      <c r="Q18" s="38"/>
      <c r="R18" s="70">
        <f t="shared" si="3"/>
        <v>28</v>
      </c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>
      <c r="A19" s="77">
        <v>17.0</v>
      </c>
      <c r="B19" s="77" t="s">
        <v>232</v>
      </c>
      <c r="C19" s="94" t="s">
        <v>86</v>
      </c>
      <c r="D19" s="94">
        <v>30.0</v>
      </c>
      <c r="E19" s="77" t="s">
        <v>234</v>
      </c>
      <c r="F19" s="77" t="s">
        <v>157</v>
      </c>
      <c r="G19" s="77">
        <v>84.0</v>
      </c>
      <c r="H19" s="77">
        <v>40.0</v>
      </c>
      <c r="I19" s="77">
        <v>55.0</v>
      </c>
      <c r="J19" s="77">
        <f t="shared" si="1"/>
        <v>95</v>
      </c>
      <c r="K19" s="97">
        <f t="shared" si="2"/>
        <v>1.130952381</v>
      </c>
      <c r="L19" s="98">
        <v>1.15E7</v>
      </c>
      <c r="M19" s="99"/>
      <c r="N19" s="99"/>
      <c r="O19" s="77">
        <v>110.0</v>
      </c>
      <c r="P19" s="77" t="s">
        <v>237</v>
      </c>
      <c r="Q19" s="38"/>
      <c r="R19" s="38">
        <f t="shared" si="3"/>
        <v>15</v>
      </c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>
      <c r="A20" s="77">
        <v>18.0</v>
      </c>
      <c r="B20" s="83" t="s">
        <v>239</v>
      </c>
      <c r="C20" s="94" t="s">
        <v>86</v>
      </c>
      <c r="D20" s="94">
        <v>27.0</v>
      </c>
      <c r="E20" s="77" t="s">
        <v>123</v>
      </c>
      <c r="F20" s="83" t="s">
        <v>64</v>
      </c>
      <c r="G20" s="94">
        <v>80.0</v>
      </c>
      <c r="H20" s="94">
        <v>30.0</v>
      </c>
      <c r="I20" s="94">
        <v>60.0</v>
      </c>
      <c r="J20" s="94">
        <f t="shared" si="1"/>
        <v>90</v>
      </c>
      <c r="K20" s="97">
        <f t="shared" si="2"/>
        <v>1.125</v>
      </c>
      <c r="L20" s="98">
        <v>1.15E7</v>
      </c>
      <c r="M20" s="99"/>
      <c r="N20" s="99"/>
      <c r="O20" s="77">
        <v>100.0</v>
      </c>
      <c r="P20" s="77" t="s">
        <v>244</v>
      </c>
      <c r="Q20" s="38"/>
      <c r="R20" s="70">
        <f t="shared" si="3"/>
        <v>10</v>
      </c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>
      <c r="A21" s="77">
        <v>19.0</v>
      </c>
      <c r="B21" s="83" t="s">
        <v>245</v>
      </c>
      <c r="C21" s="94" t="s">
        <v>86</v>
      </c>
      <c r="D21" s="94">
        <v>28.0</v>
      </c>
      <c r="E21" s="77" t="s">
        <v>123</v>
      </c>
      <c r="F21" s="83" t="s">
        <v>181</v>
      </c>
      <c r="G21" s="94">
        <v>60.0</v>
      </c>
      <c r="H21" s="94">
        <v>29.0</v>
      </c>
      <c r="I21" s="94">
        <v>37.0</v>
      </c>
      <c r="J21" s="94">
        <f t="shared" si="1"/>
        <v>66</v>
      </c>
      <c r="K21" s="97">
        <f t="shared" si="2"/>
        <v>1.1</v>
      </c>
      <c r="L21" s="98">
        <v>9500000.0</v>
      </c>
      <c r="M21" s="77" t="s">
        <v>77</v>
      </c>
      <c r="N21" s="99"/>
      <c r="O21" s="77">
        <v>95.0</v>
      </c>
      <c r="P21" s="77" t="s">
        <v>248</v>
      </c>
      <c r="Q21" s="38"/>
      <c r="R21" s="70">
        <f t="shared" si="3"/>
        <v>29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>
      <c r="A22" s="77">
        <v>20.0</v>
      </c>
      <c r="B22" s="77" t="s">
        <v>250</v>
      </c>
      <c r="C22" s="94" t="s">
        <v>121</v>
      </c>
      <c r="D22" s="94">
        <v>28.0</v>
      </c>
      <c r="E22" s="77" t="s">
        <v>165</v>
      </c>
      <c r="F22" s="77" t="s">
        <v>124</v>
      </c>
      <c r="G22" s="77">
        <v>75.0</v>
      </c>
      <c r="H22" s="77">
        <v>35.0</v>
      </c>
      <c r="I22" s="77">
        <v>47.0</v>
      </c>
      <c r="J22" s="77">
        <f t="shared" si="1"/>
        <v>82</v>
      </c>
      <c r="K22" s="97">
        <f t="shared" si="2"/>
        <v>1.093333333</v>
      </c>
      <c r="L22" s="98">
        <v>6500000.0</v>
      </c>
      <c r="M22" s="99"/>
      <c r="N22" s="99"/>
      <c r="O22" s="77">
        <v>95.0</v>
      </c>
      <c r="P22" s="77" t="s">
        <v>254</v>
      </c>
      <c r="Q22" s="38"/>
      <c r="R22" s="38">
        <f t="shared" si="3"/>
        <v>13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>
      <c r="A23" s="77">
        <v>21.0</v>
      </c>
      <c r="B23" s="77" t="s">
        <v>256</v>
      </c>
      <c r="C23" s="94" t="s">
        <v>121</v>
      </c>
      <c r="D23" s="94">
        <v>32.0</v>
      </c>
      <c r="E23" s="77" t="s">
        <v>165</v>
      </c>
      <c r="F23" s="77" t="s">
        <v>124</v>
      </c>
      <c r="G23" s="77">
        <v>81.0</v>
      </c>
      <c r="H23" s="77">
        <v>38.0</v>
      </c>
      <c r="I23" s="77">
        <v>50.0</v>
      </c>
      <c r="J23" s="77">
        <f t="shared" si="1"/>
        <v>88</v>
      </c>
      <c r="K23" s="97">
        <f t="shared" si="2"/>
        <v>1.086419753</v>
      </c>
      <c r="L23" s="98">
        <v>9000000.0</v>
      </c>
      <c r="M23" s="99"/>
      <c r="N23" s="99"/>
      <c r="O23" s="77">
        <v>95.0</v>
      </c>
      <c r="P23" s="77" t="s">
        <v>259</v>
      </c>
      <c r="Q23" s="38"/>
      <c r="R23" s="38">
        <f t="shared" si="3"/>
        <v>7</v>
      </c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>
      <c r="A24" s="77">
        <v>22.0</v>
      </c>
      <c r="B24" s="77" t="s">
        <v>263</v>
      </c>
      <c r="C24" s="94" t="s">
        <v>121</v>
      </c>
      <c r="D24" s="94">
        <v>28.0</v>
      </c>
      <c r="E24" s="77" t="s">
        <v>165</v>
      </c>
      <c r="F24" s="77" t="s">
        <v>57</v>
      </c>
      <c r="G24" s="77">
        <v>84.0</v>
      </c>
      <c r="H24" s="77">
        <v>28.0</v>
      </c>
      <c r="I24" s="77">
        <v>63.0</v>
      </c>
      <c r="J24" s="77">
        <f t="shared" si="1"/>
        <v>91</v>
      </c>
      <c r="K24" s="97">
        <f t="shared" si="2"/>
        <v>1.083333333</v>
      </c>
      <c r="L24" s="98">
        <v>7150000.0</v>
      </c>
      <c r="M24" s="99"/>
      <c r="N24" s="99"/>
      <c r="O24" s="77">
        <v>100.0</v>
      </c>
      <c r="P24" s="77" t="s">
        <v>266</v>
      </c>
      <c r="Q24" s="38"/>
      <c r="R24" s="38">
        <f t="shared" si="3"/>
        <v>9</v>
      </c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>
      <c r="A25" s="77">
        <v>23.0</v>
      </c>
      <c r="B25" s="77" t="s">
        <v>267</v>
      </c>
      <c r="C25" s="94" t="s">
        <v>121</v>
      </c>
      <c r="D25" s="94">
        <v>27.0</v>
      </c>
      <c r="E25" s="77" t="s">
        <v>59</v>
      </c>
      <c r="F25" s="77" t="s">
        <v>145</v>
      </c>
      <c r="G25" s="77">
        <v>73.0</v>
      </c>
      <c r="H25" s="77">
        <v>24.0</v>
      </c>
      <c r="I25" s="77">
        <v>54.0</v>
      </c>
      <c r="J25" s="77">
        <f t="shared" si="1"/>
        <v>78</v>
      </c>
      <c r="K25" s="97">
        <f t="shared" si="2"/>
        <v>1.068493151</v>
      </c>
      <c r="L25" s="98">
        <v>8125000.0</v>
      </c>
      <c r="M25" s="77" t="s">
        <v>77</v>
      </c>
      <c r="N25" s="99"/>
      <c r="O25" s="77">
        <v>105.0</v>
      </c>
      <c r="P25" s="77" t="s">
        <v>271</v>
      </c>
      <c r="Q25" s="38"/>
      <c r="R25" s="38">
        <f t="shared" si="3"/>
        <v>27</v>
      </c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>
      <c r="A26" s="77">
        <v>24.0</v>
      </c>
      <c r="B26" s="83" t="s">
        <v>276</v>
      </c>
      <c r="C26" s="94" t="s">
        <v>121</v>
      </c>
      <c r="D26" s="94">
        <v>31.0</v>
      </c>
      <c r="E26" s="77" t="s">
        <v>59</v>
      </c>
      <c r="F26" s="83" t="s">
        <v>181</v>
      </c>
      <c r="G26" s="94">
        <v>68.0</v>
      </c>
      <c r="H26" s="94">
        <v>21.0</v>
      </c>
      <c r="I26" s="94">
        <v>50.0</v>
      </c>
      <c r="J26" s="94">
        <f t="shared" si="1"/>
        <v>71</v>
      </c>
      <c r="K26" s="97">
        <f t="shared" si="2"/>
        <v>1.044117647</v>
      </c>
      <c r="L26" s="98">
        <v>1.0E7</v>
      </c>
      <c r="M26" s="77" t="s">
        <v>77</v>
      </c>
      <c r="N26" s="99"/>
      <c r="O26" s="77">
        <v>100.0</v>
      </c>
      <c r="P26" s="77" t="s">
        <v>278</v>
      </c>
      <c r="Q26" s="38"/>
      <c r="R26" s="70">
        <f t="shared" si="3"/>
        <v>29</v>
      </c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>
      <c r="A27" s="77">
        <v>25.0</v>
      </c>
      <c r="B27" s="83" t="s">
        <v>281</v>
      </c>
      <c r="C27" s="94" t="s">
        <v>121</v>
      </c>
      <c r="D27" s="94">
        <v>22.0</v>
      </c>
      <c r="E27" s="77" t="s">
        <v>123</v>
      </c>
      <c r="F27" s="83" t="s">
        <v>192</v>
      </c>
      <c r="G27" s="94">
        <v>80.0</v>
      </c>
      <c r="H27" s="94">
        <v>45.0</v>
      </c>
      <c r="I27" s="94">
        <v>36.0</v>
      </c>
      <c r="J27" s="94">
        <f t="shared" si="1"/>
        <v>81</v>
      </c>
      <c r="K27" s="97">
        <f t="shared" si="2"/>
        <v>1.0125</v>
      </c>
      <c r="L27" s="98" t="s">
        <v>283</v>
      </c>
      <c r="M27" s="130"/>
      <c r="N27" s="99"/>
      <c r="O27" s="77">
        <v>90.0</v>
      </c>
      <c r="P27" s="77" t="s">
        <v>284</v>
      </c>
      <c r="Q27" s="38"/>
      <c r="R27" s="70">
        <f t="shared" si="3"/>
        <v>9</v>
      </c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>
      <c r="A28" s="77">
        <v>26.0</v>
      </c>
      <c r="B28" s="83" t="s">
        <v>289</v>
      </c>
      <c r="C28" s="94" t="s">
        <v>121</v>
      </c>
      <c r="D28" s="94">
        <v>29.0</v>
      </c>
      <c r="E28" s="99" t="s">
        <v>59</v>
      </c>
      <c r="F28" s="83" t="s">
        <v>155</v>
      </c>
      <c r="G28" s="94">
        <v>82.0</v>
      </c>
      <c r="H28" s="94">
        <v>28.0</v>
      </c>
      <c r="I28" s="94">
        <v>55.0</v>
      </c>
      <c r="J28" s="94">
        <f t="shared" si="1"/>
        <v>83</v>
      </c>
      <c r="K28" s="97">
        <f t="shared" si="2"/>
        <v>1.012195122</v>
      </c>
      <c r="L28" s="98">
        <v>9750000.0</v>
      </c>
      <c r="M28" s="130"/>
      <c r="N28" s="99"/>
      <c r="O28" s="77">
        <v>90.0</v>
      </c>
      <c r="P28" s="77" t="s">
        <v>292</v>
      </c>
      <c r="Q28" s="38"/>
      <c r="R28" s="70">
        <f t="shared" si="3"/>
        <v>7</v>
      </c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>
      <c r="A29" s="77">
        <v>27.0</v>
      </c>
      <c r="B29" s="83" t="s">
        <v>296</v>
      </c>
      <c r="C29" s="94" t="s">
        <v>121</v>
      </c>
      <c r="D29" s="94">
        <v>34.0</v>
      </c>
      <c r="E29" s="77" t="s">
        <v>165</v>
      </c>
      <c r="F29" s="83" t="s">
        <v>255</v>
      </c>
      <c r="G29" s="94">
        <v>82.0</v>
      </c>
      <c r="H29" s="94">
        <v>31.0</v>
      </c>
      <c r="I29" s="94">
        <v>52.0</v>
      </c>
      <c r="J29" s="94">
        <f t="shared" si="1"/>
        <v>83</v>
      </c>
      <c r="K29" s="97">
        <f t="shared" si="2"/>
        <v>1.012195122</v>
      </c>
      <c r="L29" s="98">
        <v>1.1E7</v>
      </c>
      <c r="M29" s="99"/>
      <c r="N29" s="99"/>
      <c r="O29" s="77">
        <v>90.0</v>
      </c>
      <c r="P29" s="77" t="s">
        <v>299</v>
      </c>
      <c r="Q29" s="38"/>
      <c r="R29" s="70">
        <f t="shared" si="3"/>
        <v>7</v>
      </c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>
      <c r="A30" s="77">
        <v>28.0</v>
      </c>
      <c r="B30" s="83" t="s">
        <v>301</v>
      </c>
      <c r="C30" s="94" t="s">
        <v>121</v>
      </c>
      <c r="D30" s="94">
        <v>28.0</v>
      </c>
      <c r="E30" s="77" t="s">
        <v>165</v>
      </c>
      <c r="F30" s="83" t="s">
        <v>114</v>
      </c>
      <c r="G30" s="94">
        <v>84.0</v>
      </c>
      <c r="H30" s="94">
        <v>42.0</v>
      </c>
      <c r="I30" s="94">
        <v>43.0</v>
      </c>
      <c r="J30" s="94">
        <f t="shared" si="1"/>
        <v>85</v>
      </c>
      <c r="K30" s="97">
        <f t="shared" si="2"/>
        <v>1.011904762</v>
      </c>
      <c r="L30" s="98">
        <v>7875000.0</v>
      </c>
      <c r="M30" s="130"/>
      <c r="N30" s="99"/>
      <c r="O30" s="77">
        <v>90.0</v>
      </c>
      <c r="P30" s="77" t="s">
        <v>305</v>
      </c>
      <c r="Q30" s="38"/>
      <c r="R30" s="70">
        <f t="shared" si="3"/>
        <v>5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>
      <c r="A31" s="77">
        <v>29.0</v>
      </c>
      <c r="B31" s="83" t="s">
        <v>306</v>
      </c>
      <c r="C31" s="94" t="s">
        <v>121</v>
      </c>
      <c r="D31" s="94">
        <v>21.0</v>
      </c>
      <c r="E31" s="99" t="s">
        <v>59</v>
      </c>
      <c r="F31" s="83" t="s">
        <v>192</v>
      </c>
      <c r="G31" s="94">
        <v>72.0</v>
      </c>
      <c r="H31" s="94">
        <v>30.0</v>
      </c>
      <c r="I31" s="94">
        <v>42.0</v>
      </c>
      <c r="J31" s="94">
        <f t="shared" si="1"/>
        <v>72</v>
      </c>
      <c r="K31" s="97">
        <f t="shared" si="2"/>
        <v>1</v>
      </c>
      <c r="L31" s="98">
        <v>1.8E7</v>
      </c>
      <c r="M31" s="130"/>
      <c r="N31" s="99"/>
      <c r="O31" s="77">
        <v>90.0</v>
      </c>
      <c r="P31" s="77" t="s">
        <v>311</v>
      </c>
      <c r="Q31" s="38"/>
      <c r="R31" s="70">
        <f t="shared" si="3"/>
        <v>18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>
      <c r="A32" s="77">
        <v>30.0</v>
      </c>
      <c r="B32" s="83" t="s">
        <v>312</v>
      </c>
      <c r="C32" s="94" t="s">
        <v>121</v>
      </c>
      <c r="D32" s="94">
        <v>22.0</v>
      </c>
      <c r="E32" s="77" t="s">
        <v>123</v>
      </c>
      <c r="F32" s="83" t="s">
        <v>109</v>
      </c>
      <c r="G32" s="94">
        <v>80.0</v>
      </c>
      <c r="H32" s="94">
        <v>34.0</v>
      </c>
      <c r="I32" s="94">
        <v>46.0</v>
      </c>
      <c r="J32" s="94">
        <f t="shared" si="1"/>
        <v>80</v>
      </c>
      <c r="K32" s="97">
        <f t="shared" si="2"/>
        <v>1</v>
      </c>
      <c r="L32" s="98">
        <v>7600000.0</v>
      </c>
      <c r="M32" s="99"/>
      <c r="N32" s="99"/>
      <c r="O32" s="77">
        <v>90.0</v>
      </c>
      <c r="P32" s="77" t="s">
        <v>316</v>
      </c>
      <c r="Q32" s="38"/>
      <c r="R32" s="70">
        <f t="shared" si="3"/>
        <v>10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>
      <c r="A33" s="77">
        <v>31.0</v>
      </c>
      <c r="B33" s="77" t="s">
        <v>318</v>
      </c>
      <c r="C33" s="94" t="s">
        <v>121</v>
      </c>
      <c r="D33" s="94">
        <v>23.0</v>
      </c>
      <c r="E33" s="77" t="s">
        <v>123</v>
      </c>
      <c r="F33" s="77" t="s">
        <v>57</v>
      </c>
      <c r="G33" s="77">
        <v>80.0</v>
      </c>
      <c r="H33" s="77">
        <v>42.0</v>
      </c>
      <c r="I33" s="77">
        <v>38.0</v>
      </c>
      <c r="J33" s="77">
        <f t="shared" si="1"/>
        <v>80</v>
      </c>
      <c r="K33" s="97">
        <f t="shared" si="2"/>
        <v>1</v>
      </c>
      <c r="L33" s="98">
        <v>7142875.0</v>
      </c>
      <c r="M33" s="99"/>
      <c r="N33" s="99"/>
      <c r="O33" s="77">
        <v>95.0</v>
      </c>
      <c r="P33" s="77" t="s">
        <v>321</v>
      </c>
      <c r="Q33" s="38"/>
      <c r="R33" s="38">
        <f t="shared" si="3"/>
        <v>15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>
      <c r="A34" s="77">
        <v>32.0</v>
      </c>
      <c r="B34" s="77" t="s">
        <v>324</v>
      </c>
      <c r="C34" s="94" t="s">
        <v>121</v>
      </c>
      <c r="D34" s="94">
        <v>24.0</v>
      </c>
      <c r="E34" s="77" t="s">
        <v>59</v>
      </c>
      <c r="F34" s="77" t="s">
        <v>122</v>
      </c>
      <c r="G34" s="77">
        <v>84.0</v>
      </c>
      <c r="H34" s="77">
        <v>30.0</v>
      </c>
      <c r="I34" s="77">
        <v>54.0</v>
      </c>
      <c r="J34" s="77">
        <f t="shared" si="1"/>
        <v>84</v>
      </c>
      <c r="K34" s="97">
        <f t="shared" si="2"/>
        <v>1</v>
      </c>
      <c r="L34" s="98">
        <v>8350000.0</v>
      </c>
      <c r="M34" s="99"/>
      <c r="N34" s="99"/>
      <c r="O34" s="77">
        <v>90.0</v>
      </c>
      <c r="P34" s="77" t="s">
        <v>328</v>
      </c>
      <c r="Q34" s="38"/>
      <c r="R34" s="38">
        <f t="shared" si="3"/>
        <v>6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>
      <c r="A35" s="77">
        <v>33.0</v>
      </c>
      <c r="B35" s="83" t="s">
        <v>331</v>
      </c>
      <c r="C35" s="94" t="s">
        <v>121</v>
      </c>
      <c r="D35" s="94">
        <v>25.0</v>
      </c>
      <c r="E35" s="77" t="s">
        <v>333</v>
      </c>
      <c r="F35" s="83" t="s">
        <v>54</v>
      </c>
      <c r="G35" s="94">
        <v>80.0</v>
      </c>
      <c r="H35" s="94">
        <v>36.0</v>
      </c>
      <c r="I35" s="94">
        <v>44.0</v>
      </c>
      <c r="J35" s="94">
        <f t="shared" si="1"/>
        <v>80</v>
      </c>
      <c r="K35" s="97">
        <f t="shared" si="2"/>
        <v>1</v>
      </c>
      <c r="L35" s="98">
        <v>7000000.0</v>
      </c>
      <c r="M35" s="130"/>
      <c r="N35" s="130"/>
      <c r="O35" s="77">
        <v>90.0</v>
      </c>
      <c r="P35" s="77" t="s">
        <v>336</v>
      </c>
      <c r="Q35" s="38"/>
      <c r="R35" s="70">
        <f t="shared" si="3"/>
        <v>10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>
      <c r="A36" s="77">
        <v>34.0</v>
      </c>
      <c r="B36" s="77" t="s">
        <v>338</v>
      </c>
      <c r="C36" s="94" t="s">
        <v>121</v>
      </c>
      <c r="D36" s="94">
        <v>29.0</v>
      </c>
      <c r="E36" s="77" t="s">
        <v>59</v>
      </c>
      <c r="F36" s="77" t="s">
        <v>157</v>
      </c>
      <c r="G36" s="77">
        <v>65.0</v>
      </c>
      <c r="H36" s="77">
        <v>35.0</v>
      </c>
      <c r="I36" s="77">
        <v>30.0</v>
      </c>
      <c r="J36" s="77">
        <f t="shared" si="1"/>
        <v>65</v>
      </c>
      <c r="K36" s="97">
        <f t="shared" si="2"/>
        <v>1</v>
      </c>
      <c r="L36" s="98">
        <v>1.325E7</v>
      </c>
      <c r="M36" s="77" t="s">
        <v>77</v>
      </c>
      <c r="N36" s="77" t="s">
        <v>77</v>
      </c>
      <c r="O36" s="77">
        <v>110.0</v>
      </c>
      <c r="P36" s="77" t="s">
        <v>341</v>
      </c>
      <c r="Q36" s="141"/>
      <c r="R36" s="141">
        <f t="shared" si="3"/>
        <v>45</v>
      </c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</row>
    <row r="37">
      <c r="A37" s="77">
        <v>35.0</v>
      </c>
      <c r="B37" s="77" t="s">
        <v>344</v>
      </c>
      <c r="C37" s="94" t="s">
        <v>121</v>
      </c>
      <c r="D37" s="94">
        <v>33.0</v>
      </c>
      <c r="E37" s="77" t="s">
        <v>59</v>
      </c>
      <c r="F37" s="77" t="s">
        <v>88</v>
      </c>
      <c r="G37" s="77">
        <v>70.0</v>
      </c>
      <c r="H37" s="77">
        <v>21.0</v>
      </c>
      <c r="I37" s="77">
        <v>49.0</v>
      </c>
      <c r="J37" s="77">
        <f t="shared" si="1"/>
        <v>70</v>
      </c>
      <c r="K37" s="97">
        <f t="shared" si="2"/>
        <v>1</v>
      </c>
      <c r="L37" s="98">
        <v>8000000.0</v>
      </c>
      <c r="M37" s="99"/>
      <c r="N37" s="99"/>
      <c r="O37" s="77">
        <v>90.0</v>
      </c>
      <c r="P37" s="77" t="s">
        <v>346</v>
      </c>
      <c r="Q37" s="38"/>
      <c r="R37" s="38">
        <f t="shared" si="3"/>
        <v>20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>
      <c r="A38" s="77">
        <v>36.0</v>
      </c>
      <c r="B38" s="77" t="s">
        <v>347</v>
      </c>
      <c r="C38" s="94" t="s">
        <v>121</v>
      </c>
      <c r="D38" s="94">
        <v>34.0</v>
      </c>
      <c r="E38" s="77" t="s">
        <v>123</v>
      </c>
      <c r="F38" s="77" t="s">
        <v>170</v>
      </c>
      <c r="G38" s="77">
        <v>60.0</v>
      </c>
      <c r="H38" s="77">
        <v>25.0</v>
      </c>
      <c r="I38" s="77">
        <v>35.0</v>
      </c>
      <c r="J38" s="77">
        <f t="shared" si="1"/>
        <v>60</v>
      </c>
      <c r="K38" s="97">
        <f t="shared" si="2"/>
        <v>1</v>
      </c>
      <c r="L38" s="98">
        <v>9500000.0</v>
      </c>
      <c r="M38" s="77" t="s">
        <v>77</v>
      </c>
      <c r="N38" s="77" t="s">
        <v>77</v>
      </c>
      <c r="O38" s="77">
        <v>85.0</v>
      </c>
      <c r="P38" s="77" t="s">
        <v>352</v>
      </c>
      <c r="Q38" s="38"/>
      <c r="R38" s="38">
        <f t="shared" si="3"/>
        <v>25</v>
      </c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>
      <c r="A39" s="77">
        <v>37.0</v>
      </c>
      <c r="B39" s="77" t="s">
        <v>353</v>
      </c>
      <c r="C39" s="94" t="s">
        <v>121</v>
      </c>
      <c r="D39" s="94">
        <v>39.0</v>
      </c>
      <c r="E39" s="77" t="s">
        <v>59</v>
      </c>
      <c r="F39" s="77" t="s">
        <v>228</v>
      </c>
      <c r="G39" s="77">
        <v>80.0</v>
      </c>
      <c r="H39" s="77">
        <v>27.0</v>
      </c>
      <c r="I39" s="77">
        <v>53.0</v>
      </c>
      <c r="J39" s="77">
        <f t="shared" si="1"/>
        <v>80</v>
      </c>
      <c r="K39" s="97">
        <f t="shared" si="2"/>
        <v>1</v>
      </c>
      <c r="L39" s="98">
        <v>8700000.0</v>
      </c>
      <c r="M39" s="99"/>
      <c r="N39" s="99"/>
      <c r="O39" s="77">
        <v>90.0</v>
      </c>
      <c r="P39" s="77" t="s">
        <v>357</v>
      </c>
      <c r="Q39" s="38"/>
      <c r="R39" s="38">
        <f t="shared" si="3"/>
        <v>10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>
      <c r="A40" s="77">
        <v>38.0</v>
      </c>
      <c r="B40" s="83" t="s">
        <v>359</v>
      </c>
      <c r="C40" s="94" t="s">
        <v>121</v>
      </c>
      <c r="D40" s="94">
        <v>25.0</v>
      </c>
      <c r="E40" s="77" t="s">
        <v>165</v>
      </c>
      <c r="F40" s="83" t="s">
        <v>109</v>
      </c>
      <c r="G40" s="94">
        <v>84.0</v>
      </c>
      <c r="H40" s="94">
        <v>43.0</v>
      </c>
      <c r="I40" s="94">
        <v>41.0</v>
      </c>
      <c r="J40" s="94">
        <f t="shared" si="1"/>
        <v>84</v>
      </c>
      <c r="K40" s="97">
        <f t="shared" si="2"/>
        <v>1</v>
      </c>
      <c r="L40" s="98">
        <v>7850000.0</v>
      </c>
      <c r="M40" s="99"/>
      <c r="N40" s="99"/>
      <c r="O40" s="77">
        <v>90.0</v>
      </c>
      <c r="P40" s="77" t="s">
        <v>362</v>
      </c>
      <c r="Q40" s="38"/>
      <c r="R40" s="70">
        <f t="shared" si="3"/>
        <v>6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>
      <c r="A41" s="77">
        <v>39.0</v>
      </c>
      <c r="B41" s="83" t="s">
        <v>365</v>
      </c>
      <c r="C41" s="94" t="s">
        <v>121</v>
      </c>
      <c r="D41" s="94">
        <v>24.0</v>
      </c>
      <c r="E41" s="77" t="s">
        <v>123</v>
      </c>
      <c r="F41" s="83" t="s">
        <v>114</v>
      </c>
      <c r="G41" s="94">
        <v>84.0</v>
      </c>
      <c r="H41" s="94">
        <v>28.0</v>
      </c>
      <c r="I41" s="94">
        <v>56.0</v>
      </c>
      <c r="J41" s="94">
        <f t="shared" si="1"/>
        <v>84</v>
      </c>
      <c r="K41" s="97">
        <f t="shared" si="2"/>
        <v>1</v>
      </c>
      <c r="L41" s="98">
        <v>8075000.0</v>
      </c>
      <c r="M41" s="130"/>
      <c r="N41" s="99"/>
      <c r="O41" s="77">
        <v>90.0</v>
      </c>
      <c r="P41" s="77" t="s">
        <v>368</v>
      </c>
      <c r="Q41" s="38"/>
      <c r="R41" s="70">
        <f t="shared" si="3"/>
        <v>6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>
      <c r="A42" s="77">
        <v>40.0</v>
      </c>
      <c r="B42" s="77" t="s">
        <v>370</v>
      </c>
      <c r="C42" s="94" t="s">
        <v>121</v>
      </c>
      <c r="D42" s="94">
        <v>23.0</v>
      </c>
      <c r="E42" s="99" t="s">
        <v>59</v>
      </c>
      <c r="F42" s="83" t="s">
        <v>43</v>
      </c>
      <c r="G42" s="94">
        <v>84.0</v>
      </c>
      <c r="H42" s="94">
        <v>36.0</v>
      </c>
      <c r="I42" s="94">
        <v>47.0</v>
      </c>
      <c r="J42" s="94">
        <f t="shared" si="1"/>
        <v>83</v>
      </c>
      <c r="K42" s="97">
        <f t="shared" si="2"/>
        <v>0.9880952381</v>
      </c>
      <c r="L42" s="98">
        <v>8400000.0</v>
      </c>
      <c r="M42" s="130"/>
      <c r="N42" s="130"/>
      <c r="O42" s="77">
        <v>95.0</v>
      </c>
      <c r="P42" s="77" t="s">
        <v>373</v>
      </c>
      <c r="Q42" s="38"/>
      <c r="R42" s="70">
        <f t="shared" si="3"/>
        <v>12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>
      <c r="A43" s="77">
        <v>41.0</v>
      </c>
      <c r="B43" s="83" t="s">
        <v>374</v>
      </c>
      <c r="C43" s="94" t="s">
        <v>195</v>
      </c>
      <c r="D43" s="94">
        <v>30.0</v>
      </c>
      <c r="E43" s="77" t="s">
        <v>123</v>
      </c>
      <c r="F43" s="83" t="s">
        <v>181</v>
      </c>
      <c r="G43" s="94">
        <v>78.0</v>
      </c>
      <c r="H43" s="94">
        <v>34.0</v>
      </c>
      <c r="I43" s="94">
        <v>42.0</v>
      </c>
      <c r="J43" s="94">
        <f t="shared" si="1"/>
        <v>76</v>
      </c>
      <c r="K43" s="97">
        <f t="shared" si="2"/>
        <v>0.9743589744</v>
      </c>
      <c r="L43" s="98">
        <v>8625000.0</v>
      </c>
      <c r="M43" s="130"/>
      <c r="N43" s="99"/>
      <c r="O43" s="77">
        <v>85.0</v>
      </c>
      <c r="P43" s="77" t="s">
        <v>377</v>
      </c>
      <c r="Q43" s="38"/>
      <c r="R43" s="70">
        <f t="shared" si="3"/>
        <v>9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>
      <c r="A44" s="77">
        <v>42.0</v>
      </c>
      <c r="B44" s="77" t="s">
        <v>380</v>
      </c>
      <c r="C44" s="94" t="s">
        <v>195</v>
      </c>
      <c r="D44" s="94">
        <v>28.0</v>
      </c>
      <c r="E44" s="77" t="s">
        <v>165</v>
      </c>
      <c r="F44" s="77" t="s">
        <v>153</v>
      </c>
      <c r="G44" s="77">
        <v>84.0</v>
      </c>
      <c r="H44" s="77">
        <v>23.0</v>
      </c>
      <c r="I44" s="77">
        <v>57.0</v>
      </c>
      <c r="J44" s="77">
        <f t="shared" si="1"/>
        <v>80</v>
      </c>
      <c r="K44" s="97">
        <f t="shared" si="2"/>
        <v>0.9523809524</v>
      </c>
      <c r="L44" s="98">
        <v>7875000.0</v>
      </c>
      <c r="M44" s="99"/>
      <c r="N44" s="99"/>
      <c r="O44" s="77">
        <v>90.0</v>
      </c>
      <c r="P44" s="77" t="s">
        <v>381</v>
      </c>
      <c r="Q44" s="38"/>
      <c r="R44" s="38">
        <f t="shared" si="3"/>
        <v>10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>
      <c r="A45" s="77">
        <v>43.0</v>
      </c>
      <c r="B45" s="83" t="s">
        <v>384</v>
      </c>
      <c r="C45" s="94" t="s">
        <v>195</v>
      </c>
      <c r="D45" s="94">
        <v>29.0</v>
      </c>
      <c r="E45" s="77" t="s">
        <v>386</v>
      </c>
      <c r="F45" s="83" t="s">
        <v>98</v>
      </c>
      <c r="G45" s="94">
        <v>82.0</v>
      </c>
      <c r="H45" s="94">
        <v>39.0</v>
      </c>
      <c r="I45" s="94">
        <v>39.0</v>
      </c>
      <c r="J45" s="94">
        <f t="shared" si="1"/>
        <v>78</v>
      </c>
      <c r="K45" s="97">
        <f t="shared" si="2"/>
        <v>0.9512195122</v>
      </c>
      <c r="L45" s="98">
        <v>7142857.0</v>
      </c>
      <c r="M45" s="130"/>
      <c r="N45" s="130"/>
      <c r="O45" s="77">
        <v>85.0</v>
      </c>
      <c r="P45" s="77" t="s">
        <v>388</v>
      </c>
      <c r="Q45" s="38"/>
      <c r="R45" s="70">
        <f t="shared" si="3"/>
        <v>7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>
      <c r="A46" s="77">
        <v>44.0</v>
      </c>
      <c r="B46" s="77" t="s">
        <v>390</v>
      </c>
      <c r="C46" s="94" t="s">
        <v>195</v>
      </c>
      <c r="D46" s="94">
        <v>21.0</v>
      </c>
      <c r="E46" s="77" t="s">
        <v>123</v>
      </c>
      <c r="F46" s="77" t="s">
        <v>96</v>
      </c>
      <c r="G46" s="77">
        <v>74.0</v>
      </c>
      <c r="H46" s="77">
        <v>28.0</v>
      </c>
      <c r="I46" s="77">
        <v>41.0</v>
      </c>
      <c r="J46" s="77">
        <f t="shared" si="1"/>
        <v>69</v>
      </c>
      <c r="K46" s="97">
        <f t="shared" si="2"/>
        <v>0.9324324324</v>
      </c>
      <c r="L46" s="98">
        <v>950000.0</v>
      </c>
      <c r="M46" s="99"/>
      <c r="N46" s="99"/>
      <c r="O46" s="77">
        <v>90.0</v>
      </c>
      <c r="P46" s="77" t="s">
        <v>393</v>
      </c>
      <c r="Q46" s="151"/>
      <c r="R46" s="151">
        <f t="shared" si="3"/>
        <v>21</v>
      </c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</row>
    <row r="47">
      <c r="A47" s="77">
        <v>45.0</v>
      </c>
      <c r="B47" s="83" t="s">
        <v>398</v>
      </c>
      <c r="C47" s="94" t="s">
        <v>195</v>
      </c>
      <c r="D47" s="94">
        <v>30.0</v>
      </c>
      <c r="E47" s="77" t="s">
        <v>165</v>
      </c>
      <c r="F47" s="83" t="s">
        <v>155</v>
      </c>
      <c r="G47" s="94">
        <v>72.0</v>
      </c>
      <c r="H47" s="94">
        <v>24.0</v>
      </c>
      <c r="I47" s="94">
        <v>43.0</v>
      </c>
      <c r="J47" s="94">
        <f t="shared" si="1"/>
        <v>67</v>
      </c>
      <c r="K47" s="97">
        <f t="shared" si="2"/>
        <v>0.9305555556</v>
      </c>
      <c r="L47" s="98">
        <v>8500000.0</v>
      </c>
      <c r="M47" s="157" t="s">
        <v>77</v>
      </c>
      <c r="N47" s="99"/>
      <c r="O47" s="77">
        <v>85.0</v>
      </c>
      <c r="P47" s="77" t="s">
        <v>400</v>
      </c>
      <c r="Q47" s="38"/>
      <c r="R47" s="70">
        <f t="shared" si="3"/>
        <v>18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>
      <c r="A48" s="77">
        <v>46.0</v>
      </c>
      <c r="B48" s="83" t="s">
        <v>403</v>
      </c>
      <c r="C48" s="94" t="s">
        <v>195</v>
      </c>
      <c r="D48" s="94">
        <v>24.0</v>
      </c>
      <c r="E48" s="77" t="s">
        <v>404</v>
      </c>
      <c r="F48" s="83" t="s">
        <v>155</v>
      </c>
      <c r="G48" s="94">
        <v>55.0</v>
      </c>
      <c r="H48" s="94">
        <v>25.0</v>
      </c>
      <c r="I48" s="94">
        <v>26.0</v>
      </c>
      <c r="J48" s="94">
        <f t="shared" si="1"/>
        <v>51</v>
      </c>
      <c r="K48" s="97">
        <f t="shared" si="2"/>
        <v>0.9272727273</v>
      </c>
      <c r="L48" s="98">
        <v>7420087.0</v>
      </c>
      <c r="M48" s="130"/>
      <c r="N48" s="99"/>
      <c r="O48" s="77">
        <v>80.0</v>
      </c>
      <c r="P48" s="77" t="s">
        <v>408</v>
      </c>
      <c r="Q48" s="38"/>
      <c r="R48" s="70">
        <f t="shared" si="3"/>
        <v>29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</row>
    <row r="49">
      <c r="A49" s="77">
        <v>47.0</v>
      </c>
      <c r="B49" s="83" t="s">
        <v>411</v>
      </c>
      <c r="C49" s="94" t="s">
        <v>195</v>
      </c>
      <c r="D49" s="94">
        <v>34.0</v>
      </c>
      <c r="E49" s="77" t="s">
        <v>123</v>
      </c>
      <c r="F49" s="83" t="s">
        <v>49</v>
      </c>
      <c r="G49" s="94">
        <v>72.0</v>
      </c>
      <c r="H49" s="94">
        <v>36.0</v>
      </c>
      <c r="I49" s="94">
        <v>30.0</v>
      </c>
      <c r="J49" s="94">
        <f t="shared" si="1"/>
        <v>66</v>
      </c>
      <c r="K49" s="97">
        <f t="shared" si="2"/>
        <v>0.9166666667</v>
      </c>
      <c r="L49" s="98">
        <v>5500000.0</v>
      </c>
      <c r="M49" s="99"/>
      <c r="N49" s="99"/>
      <c r="O49" s="77">
        <v>80.0</v>
      </c>
      <c r="P49" s="77" t="s">
        <v>413</v>
      </c>
      <c r="Q49" s="158"/>
      <c r="R49" s="159">
        <f t="shared" si="3"/>
        <v>14</v>
      </c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</row>
    <row r="50">
      <c r="A50" s="77">
        <v>48.0</v>
      </c>
      <c r="B50" s="77" t="s">
        <v>417</v>
      </c>
      <c r="C50" s="94" t="s">
        <v>195</v>
      </c>
      <c r="D50" s="94">
        <v>24.0</v>
      </c>
      <c r="E50" s="77" t="s">
        <v>418</v>
      </c>
      <c r="F50" s="77" t="s">
        <v>157</v>
      </c>
      <c r="G50" s="77">
        <v>82.0</v>
      </c>
      <c r="H50" s="77">
        <v>27.0</v>
      </c>
      <c r="I50" s="77">
        <v>48.0</v>
      </c>
      <c r="J50" s="77">
        <f t="shared" si="1"/>
        <v>75</v>
      </c>
      <c r="K50" s="97">
        <f t="shared" si="2"/>
        <v>0.9146341463</v>
      </c>
      <c r="L50" s="98">
        <v>7750000.0</v>
      </c>
      <c r="M50" s="99"/>
      <c r="N50" s="99"/>
      <c r="O50" s="77">
        <v>90.0</v>
      </c>
      <c r="P50" s="77" t="s">
        <v>421</v>
      </c>
      <c r="Q50" s="151"/>
      <c r="R50" s="151">
        <f t="shared" si="3"/>
        <v>15</v>
      </c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</row>
    <row r="51">
      <c r="A51" s="77">
        <v>49.0</v>
      </c>
      <c r="B51" s="83" t="s">
        <v>423</v>
      </c>
      <c r="C51" s="94" t="s">
        <v>195</v>
      </c>
      <c r="D51" s="94">
        <v>26.0</v>
      </c>
      <c r="E51" s="77" t="s">
        <v>165</v>
      </c>
      <c r="F51" s="83" t="s">
        <v>73</v>
      </c>
      <c r="G51" s="94">
        <v>80.0</v>
      </c>
      <c r="H51" s="94">
        <v>30.0</v>
      </c>
      <c r="I51" s="94">
        <v>43.0</v>
      </c>
      <c r="J51" s="94">
        <f t="shared" si="1"/>
        <v>73</v>
      </c>
      <c r="K51" s="97">
        <f t="shared" si="2"/>
        <v>0.9125</v>
      </c>
      <c r="L51" s="98">
        <v>3850000.0</v>
      </c>
      <c r="M51" s="130"/>
      <c r="N51" s="130"/>
      <c r="O51" s="77">
        <v>85.0</v>
      </c>
      <c r="P51" s="77" t="s">
        <v>426</v>
      </c>
      <c r="Q51" s="38"/>
      <c r="R51" s="70">
        <f t="shared" si="3"/>
        <v>12</v>
      </c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>
      <c r="A52" s="77">
        <v>50.0</v>
      </c>
      <c r="B52" s="77" t="s">
        <v>428</v>
      </c>
      <c r="C52" s="94" t="s">
        <v>195</v>
      </c>
      <c r="D52" s="94">
        <v>32.0</v>
      </c>
      <c r="E52" s="77" t="s">
        <v>165</v>
      </c>
      <c r="F52" s="77" t="s">
        <v>196</v>
      </c>
      <c r="G52" s="77">
        <v>84.0</v>
      </c>
      <c r="H52" s="77">
        <v>36.0</v>
      </c>
      <c r="I52" s="77">
        <v>40.0</v>
      </c>
      <c r="J52" s="77">
        <f t="shared" si="1"/>
        <v>76</v>
      </c>
      <c r="K52" s="97">
        <f t="shared" si="2"/>
        <v>0.9047619048</v>
      </c>
      <c r="L52" s="98">
        <v>8500000.0</v>
      </c>
      <c r="M52" s="99"/>
      <c r="N52" s="99"/>
      <c r="O52" s="77">
        <v>90.0</v>
      </c>
      <c r="P52" s="77" t="s">
        <v>431</v>
      </c>
      <c r="Q52" s="38"/>
      <c r="R52" s="38">
        <f t="shared" si="3"/>
        <v>14</v>
      </c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>
      <c r="A53" s="77">
        <v>51.0</v>
      </c>
      <c r="B53" s="83" t="s">
        <v>435</v>
      </c>
      <c r="C53" s="94" t="s">
        <v>195</v>
      </c>
      <c r="D53" s="94">
        <v>30.0</v>
      </c>
      <c r="E53" s="77" t="s">
        <v>123</v>
      </c>
      <c r="F53" s="83" t="s">
        <v>255</v>
      </c>
      <c r="G53" s="94">
        <v>82.0</v>
      </c>
      <c r="H53" s="94">
        <v>35.0</v>
      </c>
      <c r="I53" s="94">
        <v>39.0</v>
      </c>
      <c r="J53" s="94">
        <f t="shared" si="1"/>
        <v>74</v>
      </c>
      <c r="K53" s="97">
        <f t="shared" si="2"/>
        <v>0.9024390244</v>
      </c>
      <c r="L53" s="98">
        <v>1.0625E7</v>
      </c>
      <c r="M53" s="99"/>
      <c r="N53" s="99"/>
      <c r="O53" s="77">
        <v>80.0</v>
      </c>
      <c r="P53" s="77" t="s">
        <v>438</v>
      </c>
      <c r="Q53" s="38"/>
      <c r="R53" s="70">
        <f t="shared" si="3"/>
        <v>6</v>
      </c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>
      <c r="A54" s="77">
        <v>52.0</v>
      </c>
      <c r="B54" s="83" t="s">
        <v>440</v>
      </c>
      <c r="C54" s="94" t="s">
        <v>195</v>
      </c>
      <c r="D54" s="94">
        <v>29.0</v>
      </c>
      <c r="E54" s="77" t="s">
        <v>123</v>
      </c>
      <c r="F54" s="83" t="s">
        <v>192</v>
      </c>
      <c r="G54" s="94">
        <v>76.0</v>
      </c>
      <c r="H54" s="94">
        <v>23.0</v>
      </c>
      <c r="I54" s="94">
        <v>45.0</v>
      </c>
      <c r="J54" s="94">
        <f t="shared" si="1"/>
        <v>68</v>
      </c>
      <c r="K54" s="97">
        <f t="shared" si="2"/>
        <v>0.8947368421</v>
      </c>
      <c r="L54" s="98">
        <v>7000000.0</v>
      </c>
      <c r="M54" s="130"/>
      <c r="N54" s="99"/>
      <c r="O54" s="77">
        <v>82.0</v>
      </c>
      <c r="P54" s="77" t="s">
        <v>444</v>
      </c>
      <c r="Q54" s="38"/>
      <c r="R54" s="70">
        <f t="shared" si="3"/>
        <v>14</v>
      </c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>
      <c r="A55" s="77">
        <v>53.0</v>
      </c>
      <c r="B55" s="77" t="s">
        <v>447</v>
      </c>
      <c r="C55" s="94" t="s">
        <v>195</v>
      </c>
      <c r="D55" s="94">
        <v>22.0</v>
      </c>
      <c r="E55" s="77" t="s">
        <v>59</v>
      </c>
      <c r="F55" s="77" t="s">
        <v>57</v>
      </c>
      <c r="G55" s="77">
        <v>75.0</v>
      </c>
      <c r="H55" s="77">
        <v>25.0</v>
      </c>
      <c r="I55" s="77">
        <v>42.0</v>
      </c>
      <c r="J55" s="77">
        <f t="shared" si="1"/>
        <v>67</v>
      </c>
      <c r="K55" s="97">
        <f t="shared" si="2"/>
        <v>0.8933333333</v>
      </c>
      <c r="L55" s="98">
        <v>1.0E7</v>
      </c>
      <c r="M55" s="99"/>
      <c r="N55" s="99"/>
      <c r="O55" s="77">
        <v>90.0</v>
      </c>
      <c r="P55" s="77" t="s">
        <v>452</v>
      </c>
      <c r="Q55" s="38"/>
      <c r="R55" s="38">
        <f t="shared" si="3"/>
        <v>23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>
      <c r="A56" s="77">
        <v>54.0</v>
      </c>
      <c r="B56" s="77" t="s">
        <v>453</v>
      </c>
      <c r="C56" s="94" t="s">
        <v>195</v>
      </c>
      <c r="D56" s="94">
        <v>33.0</v>
      </c>
      <c r="E56" s="77" t="s">
        <v>59</v>
      </c>
      <c r="F56" s="77" t="s">
        <v>88</v>
      </c>
      <c r="G56" s="77">
        <v>84.0</v>
      </c>
      <c r="H56" s="77">
        <v>27.0</v>
      </c>
      <c r="I56" s="77">
        <v>48.0</v>
      </c>
      <c r="J56" s="77">
        <f t="shared" si="1"/>
        <v>75</v>
      </c>
      <c r="K56" s="97">
        <f t="shared" si="2"/>
        <v>0.8928571429</v>
      </c>
      <c r="L56" s="98">
        <v>8500000.0</v>
      </c>
      <c r="M56" s="99"/>
      <c r="N56" s="99"/>
      <c r="O56" s="77">
        <v>85.0</v>
      </c>
      <c r="P56" s="77" t="s">
        <v>458</v>
      </c>
      <c r="Q56" s="38"/>
      <c r="R56" s="38">
        <f t="shared" si="3"/>
        <v>10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>
      <c r="A57" s="77">
        <v>55.0</v>
      </c>
      <c r="B57" s="83" t="s">
        <v>461</v>
      </c>
      <c r="C57" s="94" t="s">
        <v>195</v>
      </c>
      <c r="D57" s="94">
        <v>26.0</v>
      </c>
      <c r="E57" s="77" t="s">
        <v>404</v>
      </c>
      <c r="F57" s="83" t="s">
        <v>155</v>
      </c>
      <c r="G57" s="94">
        <v>74.0</v>
      </c>
      <c r="H57" s="94">
        <v>28.0</v>
      </c>
      <c r="I57" s="94">
        <v>38.0</v>
      </c>
      <c r="J57" s="94">
        <f t="shared" si="1"/>
        <v>66</v>
      </c>
      <c r="K57" s="97">
        <f t="shared" si="2"/>
        <v>0.8918918919</v>
      </c>
      <c r="L57" s="98">
        <v>7750000.0</v>
      </c>
      <c r="M57" s="77" t="s">
        <v>77</v>
      </c>
      <c r="N57" s="99"/>
      <c r="O57" s="77">
        <v>80.0</v>
      </c>
      <c r="P57" s="77" t="s">
        <v>464</v>
      </c>
      <c r="Q57" s="151"/>
      <c r="R57" s="160">
        <f t="shared" si="3"/>
        <v>14</v>
      </c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</row>
    <row r="58">
      <c r="A58" s="77">
        <v>56.0</v>
      </c>
      <c r="B58" s="77" t="s">
        <v>468</v>
      </c>
      <c r="C58" s="94" t="s">
        <v>195</v>
      </c>
      <c r="D58" s="94">
        <v>29.0</v>
      </c>
      <c r="E58" s="77" t="s">
        <v>59</v>
      </c>
      <c r="F58" s="77" t="s">
        <v>65</v>
      </c>
      <c r="G58" s="77">
        <v>60.0</v>
      </c>
      <c r="H58" s="77">
        <v>16.0</v>
      </c>
      <c r="I58" s="77">
        <v>37.0</v>
      </c>
      <c r="J58" s="77">
        <f t="shared" si="1"/>
        <v>53</v>
      </c>
      <c r="K58" s="97">
        <f t="shared" si="2"/>
        <v>0.8833333333</v>
      </c>
      <c r="L58" s="98">
        <v>9150000.0</v>
      </c>
      <c r="M58" s="77" t="s">
        <v>77</v>
      </c>
      <c r="N58" s="99"/>
      <c r="O58" s="77">
        <v>80.0</v>
      </c>
      <c r="P58" s="77" t="s">
        <v>472</v>
      </c>
      <c r="Q58" s="38"/>
      <c r="R58" s="38">
        <f t="shared" si="3"/>
        <v>27</v>
      </c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>
      <c r="A59" s="77">
        <v>57.0</v>
      </c>
      <c r="B59" s="83" t="s">
        <v>473</v>
      </c>
      <c r="C59" s="94" t="s">
        <v>195</v>
      </c>
      <c r="D59" s="94">
        <v>30.0</v>
      </c>
      <c r="E59" s="99" t="s">
        <v>59</v>
      </c>
      <c r="F59" s="83" t="s">
        <v>114</v>
      </c>
      <c r="G59" s="94">
        <v>76.0</v>
      </c>
      <c r="H59" s="94">
        <v>33.0</v>
      </c>
      <c r="I59" s="94">
        <v>34.0</v>
      </c>
      <c r="J59" s="94">
        <f t="shared" si="1"/>
        <v>67</v>
      </c>
      <c r="K59" s="97">
        <f t="shared" si="2"/>
        <v>0.8815789474</v>
      </c>
      <c r="L59" s="98">
        <v>8700000.0</v>
      </c>
      <c r="M59" s="130"/>
      <c r="N59" s="99"/>
      <c r="O59" s="77">
        <v>80.0</v>
      </c>
      <c r="P59" s="77" t="s">
        <v>478</v>
      </c>
      <c r="Q59" s="38"/>
      <c r="R59" s="70">
        <f t="shared" si="3"/>
        <v>13</v>
      </c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>
      <c r="A60" s="77">
        <v>58.0</v>
      </c>
      <c r="B60" s="77" t="s">
        <v>480</v>
      </c>
      <c r="C60" s="94" t="s">
        <v>195</v>
      </c>
      <c r="D60" s="94">
        <v>27.0</v>
      </c>
      <c r="E60" s="77" t="s">
        <v>59</v>
      </c>
      <c r="F60" s="77" t="s">
        <v>153</v>
      </c>
      <c r="G60" s="77">
        <v>76.0</v>
      </c>
      <c r="H60" s="77">
        <v>28.0</v>
      </c>
      <c r="I60" s="77">
        <v>39.0</v>
      </c>
      <c r="J60" s="77">
        <f t="shared" si="1"/>
        <v>67</v>
      </c>
      <c r="K60" s="97">
        <f t="shared" si="2"/>
        <v>0.8815789474</v>
      </c>
      <c r="L60" s="98">
        <v>7250000.0</v>
      </c>
      <c r="M60" s="99"/>
      <c r="N60" s="99"/>
      <c r="O60" s="77">
        <v>80.0</v>
      </c>
      <c r="P60" s="77" t="s">
        <v>484</v>
      </c>
      <c r="Q60" s="76"/>
      <c r="R60" s="38">
        <f t="shared" si="3"/>
        <v>13</v>
      </c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>
      <c r="A61" s="161">
        <v>59.0</v>
      </c>
      <c r="B61" s="162" t="s">
        <v>487</v>
      </c>
      <c r="C61" s="163" t="s">
        <v>195</v>
      </c>
      <c r="D61" s="163">
        <v>27.0</v>
      </c>
      <c r="E61" s="161" t="s">
        <v>165</v>
      </c>
      <c r="F61" s="162" t="s">
        <v>181</v>
      </c>
      <c r="G61" s="163">
        <v>72.0</v>
      </c>
      <c r="H61" s="163">
        <v>26.0</v>
      </c>
      <c r="I61" s="163">
        <v>37.0</v>
      </c>
      <c r="J61" s="163">
        <f t="shared" si="1"/>
        <v>63</v>
      </c>
      <c r="K61" s="164">
        <f t="shared" si="2"/>
        <v>0.875</v>
      </c>
      <c r="L61" s="165">
        <v>8205714.0</v>
      </c>
      <c r="M61" s="166"/>
      <c r="N61" s="167"/>
      <c r="O61" s="161">
        <v>80.0</v>
      </c>
      <c r="P61" s="161" t="s">
        <v>492</v>
      </c>
      <c r="Q61" s="151"/>
      <c r="R61" s="160">
        <f t="shared" si="3"/>
        <v>17</v>
      </c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</row>
    <row r="62">
      <c r="A62" s="168">
        <v>60.0</v>
      </c>
      <c r="B62" s="169" t="s">
        <v>494</v>
      </c>
      <c r="C62" s="170" t="s">
        <v>495</v>
      </c>
      <c r="D62" s="170">
        <v>29.0</v>
      </c>
      <c r="E62" s="169" t="s">
        <v>123</v>
      </c>
      <c r="F62" s="169" t="s">
        <v>185</v>
      </c>
      <c r="G62" s="169">
        <v>82.0</v>
      </c>
      <c r="H62" s="169">
        <v>25.0</v>
      </c>
      <c r="I62" s="169">
        <v>45.0</v>
      </c>
      <c r="J62" s="169">
        <f t="shared" si="1"/>
        <v>70</v>
      </c>
      <c r="K62" s="171">
        <f t="shared" si="2"/>
        <v>0.8536585366</v>
      </c>
      <c r="L62" s="172">
        <v>8750000.0</v>
      </c>
      <c r="M62" s="173"/>
      <c r="N62" s="173"/>
      <c r="O62" s="169">
        <v>80.0</v>
      </c>
      <c r="P62" s="174" t="s">
        <v>498</v>
      </c>
      <c r="Q62" s="38"/>
      <c r="R62" s="38">
        <f t="shared" si="3"/>
        <v>10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>
      <c r="A63" s="175">
        <v>61.0</v>
      </c>
      <c r="B63" s="176" t="s">
        <v>500</v>
      </c>
      <c r="C63" s="61" t="s">
        <v>495</v>
      </c>
      <c r="D63" s="61">
        <v>25.0</v>
      </c>
      <c r="E63" s="58" t="s">
        <v>165</v>
      </c>
      <c r="F63" s="58" t="s">
        <v>145</v>
      </c>
      <c r="G63" s="58">
        <v>75.0</v>
      </c>
      <c r="H63" s="58">
        <v>27.0</v>
      </c>
      <c r="I63" s="58">
        <v>37.0</v>
      </c>
      <c r="J63" s="58">
        <f t="shared" si="1"/>
        <v>64</v>
      </c>
      <c r="K63" s="65">
        <f t="shared" si="2"/>
        <v>0.8533333333</v>
      </c>
      <c r="L63" s="66">
        <v>7750000.0</v>
      </c>
      <c r="M63" s="58" t="s">
        <v>77</v>
      </c>
      <c r="N63" s="63"/>
      <c r="O63" s="58">
        <v>90.0</v>
      </c>
      <c r="P63" s="177" t="s">
        <v>505</v>
      </c>
      <c r="Q63" s="76"/>
      <c r="R63" s="38">
        <f t="shared" si="3"/>
        <v>26</v>
      </c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>
      <c r="A64" s="175">
        <v>62.0</v>
      </c>
      <c r="B64" s="59" t="s">
        <v>506</v>
      </c>
      <c r="C64" s="61" t="s">
        <v>495</v>
      </c>
      <c r="D64" s="61">
        <v>29.0</v>
      </c>
      <c r="E64" s="63" t="s">
        <v>59</v>
      </c>
      <c r="F64" s="59" t="s">
        <v>43</v>
      </c>
      <c r="G64" s="61">
        <v>66.0</v>
      </c>
      <c r="H64" s="61">
        <v>20.0</v>
      </c>
      <c r="I64" s="61">
        <v>36.0</v>
      </c>
      <c r="J64" s="61">
        <f t="shared" si="1"/>
        <v>56</v>
      </c>
      <c r="K64" s="65">
        <f t="shared" si="2"/>
        <v>0.8484848485</v>
      </c>
      <c r="L64" s="66">
        <v>8450000.0</v>
      </c>
      <c r="M64" s="58" t="s">
        <v>77</v>
      </c>
      <c r="N64" s="178"/>
      <c r="O64" s="58">
        <v>75.0</v>
      </c>
      <c r="P64" s="177" t="s">
        <v>510</v>
      </c>
      <c r="Q64" s="38"/>
      <c r="R64" s="70">
        <f t="shared" si="3"/>
        <v>19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>
      <c r="A65" s="175">
        <v>63.0</v>
      </c>
      <c r="B65" s="58" t="s">
        <v>513</v>
      </c>
      <c r="C65" s="61" t="s">
        <v>495</v>
      </c>
      <c r="D65" s="61">
        <v>26.0</v>
      </c>
      <c r="E65" s="58" t="s">
        <v>123</v>
      </c>
      <c r="F65" s="58" t="s">
        <v>71</v>
      </c>
      <c r="G65" s="58">
        <v>72.0</v>
      </c>
      <c r="H65" s="58">
        <v>28.0</v>
      </c>
      <c r="I65" s="58">
        <v>33.0</v>
      </c>
      <c r="J65" s="58">
        <f t="shared" si="1"/>
        <v>61</v>
      </c>
      <c r="K65" s="65">
        <f t="shared" si="2"/>
        <v>0.8472222222</v>
      </c>
      <c r="L65" s="66">
        <v>7500000.0</v>
      </c>
      <c r="M65" s="58" t="s">
        <v>77</v>
      </c>
      <c r="N65" s="58"/>
      <c r="O65" s="58">
        <v>75.0</v>
      </c>
      <c r="P65" s="177" t="s">
        <v>517</v>
      </c>
      <c r="Q65" s="38"/>
      <c r="R65" s="38">
        <f t="shared" si="3"/>
        <v>14</v>
      </c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>
      <c r="A66" s="175">
        <v>64.0</v>
      </c>
      <c r="B66" s="58" t="s">
        <v>519</v>
      </c>
      <c r="C66" s="61" t="s">
        <v>495</v>
      </c>
      <c r="D66" s="61">
        <v>34.0</v>
      </c>
      <c r="E66" s="58" t="s">
        <v>123</v>
      </c>
      <c r="F66" s="58" t="s">
        <v>228</v>
      </c>
      <c r="G66" s="58">
        <v>72.0</v>
      </c>
      <c r="H66" s="58">
        <v>30.0</v>
      </c>
      <c r="I66" s="58">
        <v>31.0</v>
      </c>
      <c r="J66" s="58">
        <f t="shared" si="1"/>
        <v>61</v>
      </c>
      <c r="K66" s="65">
        <f t="shared" si="2"/>
        <v>0.8472222222</v>
      </c>
      <c r="L66" s="66">
        <v>5125000.0</v>
      </c>
      <c r="M66" s="58" t="s">
        <v>77</v>
      </c>
      <c r="N66" s="63"/>
      <c r="O66" s="58">
        <v>75.0</v>
      </c>
      <c r="P66" s="177" t="s">
        <v>522</v>
      </c>
      <c r="Q66" s="38"/>
      <c r="R66" s="38">
        <f t="shared" si="3"/>
        <v>14</v>
      </c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>
      <c r="A67" s="175">
        <v>65.0</v>
      </c>
      <c r="B67" s="179" t="s">
        <v>524</v>
      </c>
      <c r="C67" s="61" t="s">
        <v>495</v>
      </c>
      <c r="D67" s="61">
        <v>20.0</v>
      </c>
      <c r="E67" s="58" t="s">
        <v>123</v>
      </c>
      <c r="F67" s="59" t="s">
        <v>192</v>
      </c>
      <c r="G67" s="61">
        <v>84.0</v>
      </c>
      <c r="H67" s="61">
        <v>28.0</v>
      </c>
      <c r="I67" s="61">
        <v>43.0</v>
      </c>
      <c r="J67" s="61">
        <f t="shared" si="1"/>
        <v>71</v>
      </c>
      <c r="K67" s="65">
        <f t="shared" si="2"/>
        <v>0.8452380952</v>
      </c>
      <c r="L67" s="66">
        <v>953750.0</v>
      </c>
      <c r="M67" s="178"/>
      <c r="N67" s="63"/>
      <c r="O67" s="58">
        <v>80.0</v>
      </c>
      <c r="P67" s="177" t="s">
        <v>528</v>
      </c>
      <c r="Q67" s="38"/>
      <c r="R67" s="70">
        <f t="shared" si="3"/>
        <v>9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</row>
    <row r="68">
      <c r="A68" s="175">
        <v>66.0</v>
      </c>
      <c r="B68" s="176" t="s">
        <v>530</v>
      </c>
      <c r="C68" s="61" t="s">
        <v>495</v>
      </c>
      <c r="D68" s="61">
        <v>22.0</v>
      </c>
      <c r="E68" s="58" t="s">
        <v>123</v>
      </c>
      <c r="F68" s="58" t="s">
        <v>145</v>
      </c>
      <c r="G68" s="58">
        <v>84.0</v>
      </c>
      <c r="H68" s="58">
        <v>30.0</v>
      </c>
      <c r="I68" s="58">
        <v>41.0</v>
      </c>
      <c r="J68" s="58">
        <f t="shared" si="1"/>
        <v>71</v>
      </c>
      <c r="K68" s="65">
        <f t="shared" si="2"/>
        <v>0.8452380952</v>
      </c>
      <c r="L68" s="66">
        <v>950000.0</v>
      </c>
      <c r="M68" s="63"/>
      <c r="N68" s="63"/>
      <c r="O68" s="58">
        <v>90.0</v>
      </c>
      <c r="P68" s="177" t="s">
        <v>532</v>
      </c>
      <c r="Q68" s="38"/>
      <c r="R68" s="38">
        <f t="shared" si="3"/>
        <v>19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>
      <c r="A69" s="175">
        <v>67.0</v>
      </c>
      <c r="B69" s="58" t="s">
        <v>534</v>
      </c>
      <c r="C69" s="61" t="s">
        <v>495</v>
      </c>
      <c r="D69" s="61">
        <v>25.0</v>
      </c>
      <c r="E69" s="58" t="s">
        <v>333</v>
      </c>
      <c r="F69" s="58" t="s">
        <v>88</v>
      </c>
      <c r="G69" s="58">
        <v>84.0</v>
      </c>
      <c r="H69" s="58">
        <v>40.0</v>
      </c>
      <c r="I69" s="58">
        <v>31.0</v>
      </c>
      <c r="J69" s="58">
        <f t="shared" si="1"/>
        <v>71</v>
      </c>
      <c r="K69" s="65">
        <f t="shared" si="2"/>
        <v>0.8452380952</v>
      </c>
      <c r="L69" s="66">
        <v>1.1E7</v>
      </c>
      <c r="M69" s="63"/>
      <c r="N69" s="63"/>
      <c r="O69" s="58">
        <v>80.0</v>
      </c>
      <c r="P69" s="177" t="s">
        <v>538</v>
      </c>
      <c r="Q69" s="38"/>
      <c r="R69" s="38">
        <f t="shared" si="3"/>
        <v>9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>
      <c r="A70" s="175">
        <v>68.0</v>
      </c>
      <c r="B70" s="180" t="s">
        <v>540</v>
      </c>
      <c r="C70" s="61" t="s">
        <v>495</v>
      </c>
      <c r="D70" s="61">
        <v>21.0</v>
      </c>
      <c r="E70" s="63" t="s">
        <v>59</v>
      </c>
      <c r="F70" s="59" t="s">
        <v>73</v>
      </c>
      <c r="G70" s="61">
        <v>84.0</v>
      </c>
      <c r="H70" s="61">
        <v>27.0</v>
      </c>
      <c r="I70" s="61">
        <v>43.0</v>
      </c>
      <c r="J70" s="61">
        <f t="shared" si="1"/>
        <v>70</v>
      </c>
      <c r="K70" s="65">
        <f t="shared" si="2"/>
        <v>0.8333333333</v>
      </c>
      <c r="L70" s="66" t="s">
        <v>283</v>
      </c>
      <c r="M70" s="178"/>
      <c r="N70" s="178"/>
      <c r="O70" s="58">
        <v>80.0</v>
      </c>
      <c r="P70" s="177" t="s">
        <v>544</v>
      </c>
      <c r="Q70" s="76"/>
      <c r="R70" s="70">
        <f t="shared" si="3"/>
        <v>10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>
      <c r="A71" s="175">
        <v>69.0</v>
      </c>
      <c r="B71" s="180" t="s">
        <v>546</v>
      </c>
      <c r="C71" s="61" t="s">
        <v>495</v>
      </c>
      <c r="D71" s="61">
        <v>39.0</v>
      </c>
      <c r="E71" s="58" t="s">
        <v>123</v>
      </c>
      <c r="F71" s="59" t="s">
        <v>255</v>
      </c>
      <c r="G71" s="61">
        <v>60.0</v>
      </c>
      <c r="H71" s="61">
        <v>16.0</v>
      </c>
      <c r="I71" s="61">
        <v>34.0</v>
      </c>
      <c r="J71" s="61">
        <f t="shared" si="1"/>
        <v>50</v>
      </c>
      <c r="K71" s="65">
        <f t="shared" si="2"/>
        <v>0.8333333333</v>
      </c>
      <c r="L71" s="66">
        <v>1000000.0</v>
      </c>
      <c r="M71" s="63"/>
      <c r="N71" s="58" t="s">
        <v>77</v>
      </c>
      <c r="O71" s="58">
        <v>65.0</v>
      </c>
      <c r="P71" s="177" t="s">
        <v>549</v>
      </c>
      <c r="Q71" s="38"/>
      <c r="R71" s="70">
        <f t="shared" si="3"/>
        <v>15</v>
      </c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>
      <c r="A72" s="175">
        <v>70.0</v>
      </c>
      <c r="B72" s="58" t="s">
        <v>553</v>
      </c>
      <c r="C72" s="61" t="s">
        <v>495</v>
      </c>
      <c r="D72" s="61">
        <v>35.0</v>
      </c>
      <c r="E72" s="58" t="s">
        <v>59</v>
      </c>
      <c r="F72" s="58" t="s">
        <v>196</v>
      </c>
      <c r="G72" s="58">
        <v>82.0</v>
      </c>
      <c r="H72" s="58">
        <v>24.0</v>
      </c>
      <c r="I72" s="58">
        <v>44.0</v>
      </c>
      <c r="J72" s="58">
        <f t="shared" si="1"/>
        <v>68</v>
      </c>
      <c r="K72" s="65">
        <f t="shared" si="2"/>
        <v>0.8292682927</v>
      </c>
      <c r="L72" s="66">
        <v>4500000.0</v>
      </c>
      <c r="M72" s="63"/>
      <c r="N72" s="63"/>
      <c r="O72" s="58">
        <v>75.0</v>
      </c>
      <c r="P72" s="177" t="s">
        <v>556</v>
      </c>
      <c r="Q72" s="76"/>
      <c r="R72" s="38">
        <f t="shared" si="3"/>
        <v>7</v>
      </c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>
      <c r="A73" s="175">
        <v>71.0</v>
      </c>
      <c r="B73" s="58" t="s">
        <v>559</v>
      </c>
      <c r="C73" s="61" t="s">
        <v>495</v>
      </c>
      <c r="D73" s="61">
        <v>29.0</v>
      </c>
      <c r="E73" s="58" t="s">
        <v>59</v>
      </c>
      <c r="F73" s="58" t="s">
        <v>235</v>
      </c>
      <c r="G73" s="58">
        <v>84.0</v>
      </c>
      <c r="H73" s="58">
        <v>23.0</v>
      </c>
      <c r="I73" s="58">
        <v>46.0</v>
      </c>
      <c r="J73" s="58">
        <f t="shared" si="1"/>
        <v>69</v>
      </c>
      <c r="K73" s="65">
        <f t="shared" si="2"/>
        <v>0.8214285714</v>
      </c>
      <c r="L73" s="66">
        <v>5000000.0</v>
      </c>
      <c r="M73" s="63"/>
      <c r="N73" s="63"/>
      <c r="O73" s="58">
        <v>80.0</v>
      </c>
      <c r="P73" s="177" t="s">
        <v>561</v>
      </c>
      <c r="Q73" s="38"/>
      <c r="R73" s="38">
        <f t="shared" si="3"/>
        <v>11</v>
      </c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</row>
    <row r="74">
      <c r="A74" s="175">
        <v>72.0</v>
      </c>
      <c r="B74" s="58" t="s">
        <v>563</v>
      </c>
      <c r="C74" s="61" t="s">
        <v>495</v>
      </c>
      <c r="D74" s="61">
        <v>30.0</v>
      </c>
      <c r="E74" s="58" t="s">
        <v>123</v>
      </c>
      <c r="F74" s="58" t="s">
        <v>235</v>
      </c>
      <c r="G74" s="58">
        <v>78.0</v>
      </c>
      <c r="H74" s="58">
        <v>31.0</v>
      </c>
      <c r="I74" s="58">
        <v>33.0</v>
      </c>
      <c r="J74" s="58">
        <f t="shared" si="1"/>
        <v>64</v>
      </c>
      <c r="K74" s="65">
        <f t="shared" si="2"/>
        <v>0.8205128205</v>
      </c>
      <c r="L74" s="66">
        <v>1.05E7</v>
      </c>
      <c r="M74" s="63"/>
      <c r="N74" s="63"/>
      <c r="O74" s="58">
        <v>80.0</v>
      </c>
      <c r="P74" s="177" t="s">
        <v>567</v>
      </c>
      <c r="Q74" s="38"/>
      <c r="R74" s="38">
        <f t="shared" si="3"/>
        <v>16</v>
      </c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>
      <c r="A75" s="175">
        <v>73.0</v>
      </c>
      <c r="B75" s="183" t="s">
        <v>571</v>
      </c>
      <c r="C75" s="61" t="s">
        <v>495</v>
      </c>
      <c r="D75" s="61">
        <v>37.0</v>
      </c>
      <c r="E75" s="58" t="s">
        <v>123</v>
      </c>
      <c r="F75" s="59" t="s">
        <v>225</v>
      </c>
      <c r="G75" s="61">
        <v>72.0</v>
      </c>
      <c r="H75" s="61">
        <v>21.0</v>
      </c>
      <c r="I75" s="61">
        <v>38.0</v>
      </c>
      <c r="J75" s="61">
        <f t="shared" si="1"/>
        <v>59</v>
      </c>
      <c r="K75" s="65">
        <f t="shared" si="2"/>
        <v>0.8194444444</v>
      </c>
      <c r="L75" s="66">
        <v>8000000.0</v>
      </c>
      <c r="M75" s="58" t="s">
        <v>77</v>
      </c>
      <c r="N75" s="63"/>
      <c r="O75" s="58">
        <v>80.0</v>
      </c>
      <c r="P75" s="177" t="s">
        <v>574</v>
      </c>
      <c r="Q75" s="38"/>
      <c r="R75" s="70">
        <f t="shared" si="3"/>
        <v>21</v>
      </c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>
      <c r="A76" s="175">
        <v>74.0</v>
      </c>
      <c r="B76" s="179" t="s">
        <v>576</v>
      </c>
      <c r="C76" s="61" t="s">
        <v>495</v>
      </c>
      <c r="D76" s="61">
        <v>20.0</v>
      </c>
      <c r="E76" s="58" t="s">
        <v>123</v>
      </c>
      <c r="F76" s="59" t="s">
        <v>109</v>
      </c>
      <c r="G76" s="61">
        <v>84.0</v>
      </c>
      <c r="H76" s="61">
        <v>21.0</v>
      </c>
      <c r="I76" s="61">
        <v>47.0</v>
      </c>
      <c r="J76" s="61">
        <f t="shared" si="1"/>
        <v>68</v>
      </c>
      <c r="K76" s="65">
        <f t="shared" si="2"/>
        <v>0.8095238095</v>
      </c>
      <c r="L76" s="66">
        <v>940833.0</v>
      </c>
      <c r="M76" s="63"/>
      <c r="N76" s="63"/>
      <c r="O76" s="58">
        <v>80.0</v>
      </c>
      <c r="P76" s="177" t="s">
        <v>580</v>
      </c>
      <c r="Q76" s="76"/>
      <c r="R76" s="70">
        <f t="shared" si="3"/>
        <v>12</v>
      </c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>
      <c r="A77" s="175">
        <v>75.0</v>
      </c>
      <c r="B77" s="183" t="s">
        <v>582</v>
      </c>
      <c r="C77" s="61" t="s">
        <v>495</v>
      </c>
      <c r="D77" s="61">
        <v>21.0</v>
      </c>
      <c r="E77" s="58" t="s">
        <v>333</v>
      </c>
      <c r="F77" s="58" t="s">
        <v>185</v>
      </c>
      <c r="G77" s="58">
        <v>84.0</v>
      </c>
      <c r="H77" s="58">
        <v>29.0</v>
      </c>
      <c r="I77" s="58">
        <v>39.0</v>
      </c>
      <c r="J77" s="58">
        <f t="shared" si="1"/>
        <v>68</v>
      </c>
      <c r="K77" s="65">
        <f t="shared" si="2"/>
        <v>0.8095238095</v>
      </c>
      <c r="L77" s="66">
        <v>950000.0</v>
      </c>
      <c r="M77" s="63"/>
      <c r="N77" s="58" t="s">
        <v>77</v>
      </c>
      <c r="O77" s="58">
        <v>80.0</v>
      </c>
      <c r="P77" s="177" t="s">
        <v>586</v>
      </c>
      <c r="Q77" s="38"/>
      <c r="R77" s="38">
        <f t="shared" si="3"/>
        <v>12</v>
      </c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>
      <c r="A78" s="175">
        <v>76.0</v>
      </c>
      <c r="B78" s="176" t="s">
        <v>589</v>
      </c>
      <c r="C78" s="61" t="s">
        <v>495</v>
      </c>
      <c r="D78" s="61">
        <v>36.0</v>
      </c>
      <c r="E78" s="58" t="s">
        <v>59</v>
      </c>
      <c r="F78" s="58" t="s">
        <v>157</v>
      </c>
      <c r="G78" s="58">
        <v>84.0</v>
      </c>
      <c r="H78" s="58">
        <v>29.0</v>
      </c>
      <c r="I78" s="58">
        <v>39.0</v>
      </c>
      <c r="J78" s="58">
        <f t="shared" si="1"/>
        <v>68</v>
      </c>
      <c r="K78" s="65">
        <f t="shared" si="2"/>
        <v>0.8095238095</v>
      </c>
      <c r="L78" s="66">
        <v>4389280.0</v>
      </c>
      <c r="M78" s="63"/>
      <c r="N78" s="58" t="s">
        <v>77</v>
      </c>
      <c r="O78" s="58">
        <v>80.0</v>
      </c>
      <c r="P78" s="177" t="s">
        <v>592</v>
      </c>
      <c r="Q78" s="76"/>
      <c r="R78" s="38">
        <f t="shared" si="3"/>
        <v>12</v>
      </c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>
      <c r="A79" s="175">
        <v>77.0</v>
      </c>
      <c r="B79" s="176" t="s">
        <v>594</v>
      </c>
      <c r="C79" s="61" t="s">
        <v>495</v>
      </c>
      <c r="D79" s="61">
        <v>30.0</v>
      </c>
      <c r="E79" s="58" t="s">
        <v>59</v>
      </c>
      <c r="F79" s="58" t="s">
        <v>124</v>
      </c>
      <c r="G79" s="58">
        <v>78.0</v>
      </c>
      <c r="H79" s="58">
        <v>20.0</v>
      </c>
      <c r="I79" s="58">
        <v>43.0</v>
      </c>
      <c r="J79" s="58">
        <f t="shared" si="1"/>
        <v>63</v>
      </c>
      <c r="K79" s="65">
        <f t="shared" si="2"/>
        <v>0.8076923077</v>
      </c>
      <c r="L79" s="66">
        <v>9500000.0</v>
      </c>
      <c r="M79" s="63"/>
      <c r="N79" s="63"/>
      <c r="O79" s="58">
        <v>90.0</v>
      </c>
      <c r="P79" s="177" t="s">
        <v>597</v>
      </c>
      <c r="Q79" s="38"/>
      <c r="R79" s="38">
        <f t="shared" si="3"/>
        <v>27</v>
      </c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>
      <c r="A80" s="175">
        <v>78.0</v>
      </c>
      <c r="B80" s="58" t="s">
        <v>598</v>
      </c>
      <c r="C80" s="61" t="s">
        <v>495</v>
      </c>
      <c r="D80" s="61">
        <v>33.0</v>
      </c>
      <c r="E80" s="58" t="s">
        <v>600</v>
      </c>
      <c r="F80" s="58" t="s">
        <v>228</v>
      </c>
      <c r="G80" s="58">
        <v>72.0</v>
      </c>
      <c r="H80" s="58">
        <v>28.0</v>
      </c>
      <c r="I80" s="58">
        <v>30.0</v>
      </c>
      <c r="J80" s="58">
        <f t="shared" si="1"/>
        <v>58</v>
      </c>
      <c r="K80" s="65">
        <f t="shared" si="2"/>
        <v>0.8055555556</v>
      </c>
      <c r="L80" s="66">
        <v>5000000.0</v>
      </c>
      <c r="M80" s="63"/>
      <c r="N80" s="63"/>
      <c r="O80" s="58">
        <v>70.0</v>
      </c>
      <c r="P80" s="177" t="s">
        <v>602</v>
      </c>
      <c r="Q80" s="38"/>
      <c r="R80" s="38">
        <f t="shared" si="3"/>
        <v>12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>
      <c r="A81" s="175">
        <v>79.0</v>
      </c>
      <c r="B81" s="58" t="s">
        <v>603</v>
      </c>
      <c r="C81" s="61" t="s">
        <v>495</v>
      </c>
      <c r="D81" s="61">
        <v>25.0</v>
      </c>
      <c r="E81" s="58" t="s">
        <v>59</v>
      </c>
      <c r="F81" s="58" t="s">
        <v>185</v>
      </c>
      <c r="G81" s="58">
        <v>70.0</v>
      </c>
      <c r="H81" s="58">
        <v>20.0</v>
      </c>
      <c r="I81" s="58">
        <v>36.0</v>
      </c>
      <c r="J81" s="58">
        <f t="shared" si="1"/>
        <v>56</v>
      </c>
      <c r="K81" s="65">
        <f t="shared" si="2"/>
        <v>0.8</v>
      </c>
      <c r="L81" s="66">
        <v>9125000.0</v>
      </c>
      <c r="M81" s="58" t="s">
        <v>77</v>
      </c>
      <c r="N81" s="63"/>
      <c r="O81" s="58">
        <v>80.0</v>
      </c>
      <c r="P81" s="177" t="s">
        <v>606</v>
      </c>
      <c r="Q81" s="38"/>
      <c r="R81" s="38">
        <f t="shared" si="3"/>
        <v>24</v>
      </c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>
      <c r="A82" s="175">
        <v>80.0</v>
      </c>
      <c r="B82" s="58" t="s">
        <v>608</v>
      </c>
      <c r="C82" s="61" t="s">
        <v>495</v>
      </c>
      <c r="D82" s="61">
        <v>28.0</v>
      </c>
      <c r="E82" s="58" t="s">
        <v>123</v>
      </c>
      <c r="F82" s="58" t="s">
        <v>122</v>
      </c>
      <c r="G82" s="58">
        <v>84.0</v>
      </c>
      <c r="H82" s="58">
        <v>29.0</v>
      </c>
      <c r="I82" s="58">
        <v>38.0</v>
      </c>
      <c r="J82" s="58">
        <f t="shared" si="1"/>
        <v>67</v>
      </c>
      <c r="K82" s="65">
        <f t="shared" si="2"/>
        <v>0.7976190476</v>
      </c>
      <c r="L82" s="66">
        <v>4975000.0</v>
      </c>
      <c r="M82" s="63"/>
      <c r="N82" s="63"/>
      <c r="O82" s="58">
        <v>75.0</v>
      </c>
      <c r="P82" s="177" t="s">
        <v>610</v>
      </c>
      <c r="Q82" s="38"/>
      <c r="R82" s="38">
        <f t="shared" si="3"/>
        <v>8</v>
      </c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>
      <c r="A83" s="175">
        <v>81.0</v>
      </c>
      <c r="B83" s="58" t="s">
        <v>612</v>
      </c>
      <c r="C83" s="61" t="s">
        <v>495</v>
      </c>
      <c r="D83" s="61">
        <v>30.0</v>
      </c>
      <c r="E83" s="58" t="s">
        <v>59</v>
      </c>
      <c r="F83" s="58" t="s">
        <v>57</v>
      </c>
      <c r="G83" s="58">
        <v>84.0</v>
      </c>
      <c r="H83" s="58">
        <v>25.0</v>
      </c>
      <c r="I83" s="58">
        <v>42.0</v>
      </c>
      <c r="J83" s="58">
        <f t="shared" si="1"/>
        <v>67</v>
      </c>
      <c r="K83" s="65">
        <f t="shared" si="2"/>
        <v>0.7976190476</v>
      </c>
      <c r="L83" s="66">
        <v>8000000.0</v>
      </c>
      <c r="M83" s="63"/>
      <c r="N83" s="63"/>
      <c r="O83" s="58">
        <v>75.0</v>
      </c>
      <c r="P83" s="177" t="s">
        <v>614</v>
      </c>
      <c r="Q83" s="38"/>
      <c r="R83" s="38">
        <f t="shared" si="3"/>
        <v>8</v>
      </c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>
      <c r="A84" s="188">
        <v>82.0</v>
      </c>
      <c r="B84" s="189" t="s">
        <v>617</v>
      </c>
      <c r="C84" s="190" t="s">
        <v>495</v>
      </c>
      <c r="D84" s="190">
        <v>24.0</v>
      </c>
      <c r="E84" s="191" t="s">
        <v>123</v>
      </c>
      <c r="F84" s="191" t="s">
        <v>88</v>
      </c>
      <c r="G84" s="191">
        <v>82.0</v>
      </c>
      <c r="H84" s="191">
        <v>29.0</v>
      </c>
      <c r="I84" s="191">
        <v>36.0</v>
      </c>
      <c r="J84" s="191">
        <f t="shared" si="1"/>
        <v>65</v>
      </c>
      <c r="K84" s="192">
        <f t="shared" si="2"/>
        <v>0.7926829268</v>
      </c>
      <c r="L84" s="193">
        <v>7450000.0</v>
      </c>
      <c r="M84" s="194"/>
      <c r="N84" s="191" t="s">
        <v>77</v>
      </c>
      <c r="O84" s="191">
        <v>75.0</v>
      </c>
      <c r="P84" s="195" t="s">
        <v>622</v>
      </c>
      <c r="Q84" s="38"/>
      <c r="R84" s="38">
        <f t="shared" si="3"/>
        <v>10</v>
      </c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>
      <c r="A85" s="196">
        <v>83.0</v>
      </c>
      <c r="B85" s="197" t="s">
        <v>624</v>
      </c>
      <c r="C85" s="198" t="s">
        <v>625</v>
      </c>
      <c r="D85" s="198">
        <v>33.0</v>
      </c>
      <c r="E85" s="196" t="s">
        <v>626</v>
      </c>
      <c r="F85" s="197" t="s">
        <v>49</v>
      </c>
      <c r="G85" s="198">
        <v>76.0</v>
      </c>
      <c r="H85" s="198">
        <v>22.0</v>
      </c>
      <c r="I85" s="198">
        <v>38.0</v>
      </c>
      <c r="J85" s="198">
        <f t="shared" si="1"/>
        <v>60</v>
      </c>
      <c r="K85" s="200">
        <f t="shared" si="2"/>
        <v>0.7894736842</v>
      </c>
      <c r="L85" s="201">
        <v>5125000.0</v>
      </c>
      <c r="M85" s="202"/>
      <c r="N85" s="202"/>
      <c r="O85" s="196">
        <v>80.0</v>
      </c>
      <c r="P85" s="196" t="s">
        <v>629</v>
      </c>
      <c r="Q85" s="38"/>
      <c r="R85" s="70">
        <f t="shared" si="3"/>
        <v>20</v>
      </c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>
      <c r="A86" s="58">
        <v>84.0</v>
      </c>
      <c r="B86" s="58" t="s">
        <v>630</v>
      </c>
      <c r="C86" s="61" t="s">
        <v>625</v>
      </c>
      <c r="D86" s="61">
        <v>40.0</v>
      </c>
      <c r="E86" s="58" t="s">
        <v>212</v>
      </c>
      <c r="F86" s="58" t="s">
        <v>228</v>
      </c>
      <c r="G86" s="58">
        <v>60.0</v>
      </c>
      <c r="H86" s="58">
        <v>16.0</v>
      </c>
      <c r="I86" s="58">
        <v>31.0</v>
      </c>
      <c r="J86" s="58">
        <f t="shared" si="1"/>
        <v>47</v>
      </c>
      <c r="K86" s="65">
        <f t="shared" si="2"/>
        <v>0.7833333333</v>
      </c>
      <c r="L86" s="66">
        <v>5500000.0</v>
      </c>
      <c r="M86" s="58" t="s">
        <v>77</v>
      </c>
      <c r="N86" s="58" t="s">
        <v>77</v>
      </c>
      <c r="O86" s="58">
        <v>80.0</v>
      </c>
      <c r="P86" s="58" t="s">
        <v>633</v>
      </c>
      <c r="Q86" s="38"/>
      <c r="R86" s="38">
        <f t="shared" si="3"/>
        <v>33</v>
      </c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>
      <c r="A87" s="58">
        <v>85.0</v>
      </c>
      <c r="B87" s="59" t="s">
        <v>634</v>
      </c>
      <c r="C87" s="61" t="s">
        <v>625</v>
      </c>
      <c r="D87" s="61">
        <v>35.0</v>
      </c>
      <c r="E87" s="58" t="s">
        <v>59</v>
      </c>
      <c r="F87" s="59" t="s">
        <v>43</v>
      </c>
      <c r="G87" s="61">
        <v>78.0</v>
      </c>
      <c r="H87" s="61">
        <v>24.0</v>
      </c>
      <c r="I87" s="61">
        <v>37.0</v>
      </c>
      <c r="J87" s="61">
        <f t="shared" si="1"/>
        <v>61</v>
      </c>
      <c r="K87" s="65">
        <f t="shared" si="2"/>
        <v>0.7820512821</v>
      </c>
      <c r="L87" s="66">
        <v>4500000.0</v>
      </c>
      <c r="M87" s="58" t="s">
        <v>77</v>
      </c>
      <c r="N87" s="58" t="s">
        <v>77</v>
      </c>
      <c r="O87" s="58">
        <v>70.0</v>
      </c>
      <c r="P87" s="58" t="s">
        <v>637</v>
      </c>
      <c r="Q87" s="38"/>
      <c r="R87" s="70">
        <f t="shared" si="3"/>
        <v>9</v>
      </c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>
      <c r="A88" s="58">
        <v>86.0</v>
      </c>
      <c r="B88" s="176" t="s">
        <v>638</v>
      </c>
      <c r="C88" s="61" t="s">
        <v>625</v>
      </c>
      <c r="D88" s="61">
        <v>28.0</v>
      </c>
      <c r="E88" s="58" t="s">
        <v>59</v>
      </c>
      <c r="F88" s="58" t="s">
        <v>235</v>
      </c>
      <c r="G88" s="58">
        <v>84.0</v>
      </c>
      <c r="H88" s="58">
        <v>21.0</v>
      </c>
      <c r="I88" s="58">
        <v>44.0</v>
      </c>
      <c r="J88" s="58">
        <f t="shared" si="1"/>
        <v>65</v>
      </c>
      <c r="K88" s="65">
        <f t="shared" si="2"/>
        <v>0.7738095238</v>
      </c>
      <c r="L88" s="66">
        <v>8500000.0</v>
      </c>
      <c r="M88" s="63"/>
      <c r="N88" s="63"/>
      <c r="O88" s="58">
        <v>75.0</v>
      </c>
      <c r="P88" s="58" t="s">
        <v>640</v>
      </c>
      <c r="Q88" s="38"/>
      <c r="R88" s="38">
        <f t="shared" si="3"/>
        <v>10</v>
      </c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>
      <c r="A89" s="58">
        <v>87.0</v>
      </c>
      <c r="B89" s="183" t="s">
        <v>642</v>
      </c>
      <c r="C89" s="61" t="s">
        <v>625</v>
      </c>
      <c r="D89" s="61">
        <v>25.0</v>
      </c>
      <c r="E89" s="58" t="s">
        <v>165</v>
      </c>
      <c r="F89" s="58" t="s">
        <v>228</v>
      </c>
      <c r="G89" s="58">
        <v>65.0</v>
      </c>
      <c r="H89" s="58">
        <v>25.0</v>
      </c>
      <c r="I89" s="58">
        <v>25.0</v>
      </c>
      <c r="J89" s="58">
        <f t="shared" si="1"/>
        <v>50</v>
      </c>
      <c r="K89" s="65">
        <f t="shared" si="2"/>
        <v>0.7692307692</v>
      </c>
      <c r="L89" s="66">
        <v>6250000.0</v>
      </c>
      <c r="M89" s="58" t="s">
        <v>77</v>
      </c>
      <c r="N89" s="58" t="s">
        <v>77</v>
      </c>
      <c r="O89" s="58">
        <v>70.0</v>
      </c>
      <c r="P89" s="58" t="s">
        <v>645</v>
      </c>
      <c r="Q89" s="76"/>
      <c r="R89" s="38">
        <f t="shared" si="3"/>
        <v>20</v>
      </c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>
      <c r="A90" s="58">
        <v>88.0</v>
      </c>
      <c r="B90" s="176" t="s">
        <v>647</v>
      </c>
      <c r="C90" s="61" t="s">
        <v>625</v>
      </c>
      <c r="D90" s="61">
        <v>24.0</v>
      </c>
      <c r="E90" s="58" t="s">
        <v>165</v>
      </c>
      <c r="F90" s="58" t="s">
        <v>122</v>
      </c>
      <c r="G90" s="58">
        <v>80.0</v>
      </c>
      <c r="H90" s="58">
        <v>18.0</v>
      </c>
      <c r="I90" s="58">
        <v>42.0</v>
      </c>
      <c r="J90" s="58">
        <f t="shared" si="1"/>
        <v>60</v>
      </c>
      <c r="K90" s="65">
        <f t="shared" si="2"/>
        <v>0.75</v>
      </c>
      <c r="L90" s="66">
        <v>5600000.0</v>
      </c>
      <c r="M90" s="63"/>
      <c r="N90" s="63"/>
      <c r="O90" s="58">
        <v>70.0</v>
      </c>
      <c r="P90" s="58" t="s">
        <v>649</v>
      </c>
      <c r="Q90" s="38"/>
      <c r="R90" s="38">
        <f t="shared" si="3"/>
        <v>10</v>
      </c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>
      <c r="A91" s="58">
        <v>89.0</v>
      </c>
      <c r="B91" s="183" t="s">
        <v>651</v>
      </c>
      <c r="C91" s="61" t="s">
        <v>625</v>
      </c>
      <c r="D91" s="61">
        <v>24.0</v>
      </c>
      <c r="E91" s="58" t="s">
        <v>123</v>
      </c>
      <c r="F91" s="58" t="s">
        <v>196</v>
      </c>
      <c r="G91" s="58">
        <v>84.0</v>
      </c>
      <c r="H91" s="58">
        <v>22.0</v>
      </c>
      <c r="I91" s="58">
        <v>41.0</v>
      </c>
      <c r="J91" s="58">
        <f t="shared" si="1"/>
        <v>63</v>
      </c>
      <c r="K91" s="65">
        <f t="shared" si="2"/>
        <v>0.75</v>
      </c>
      <c r="L91" s="66">
        <v>3000000.0</v>
      </c>
      <c r="M91" s="63"/>
      <c r="N91" s="63"/>
      <c r="O91" s="58">
        <v>75.0</v>
      </c>
      <c r="P91" s="58" t="s">
        <v>654</v>
      </c>
      <c r="Q91" s="76"/>
      <c r="R91" s="38">
        <f t="shared" si="3"/>
        <v>12</v>
      </c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>
      <c r="A92" s="58">
        <v>90.0</v>
      </c>
      <c r="B92" s="59" t="s">
        <v>655</v>
      </c>
      <c r="C92" s="61" t="s">
        <v>625</v>
      </c>
      <c r="D92" s="61">
        <v>28.0</v>
      </c>
      <c r="E92" s="58" t="s">
        <v>123</v>
      </c>
      <c r="F92" s="59" t="s">
        <v>83</v>
      </c>
      <c r="G92" s="61">
        <v>80.0</v>
      </c>
      <c r="H92" s="61">
        <v>31.0</v>
      </c>
      <c r="I92" s="61">
        <v>29.0</v>
      </c>
      <c r="J92" s="61">
        <f t="shared" si="1"/>
        <v>60</v>
      </c>
      <c r="K92" s="65">
        <f t="shared" si="2"/>
        <v>0.75</v>
      </c>
      <c r="L92" s="66">
        <v>5500000.0</v>
      </c>
      <c r="M92" s="63"/>
      <c r="N92" s="63"/>
      <c r="O92" s="58">
        <v>65.0</v>
      </c>
      <c r="P92" s="58" t="s">
        <v>658</v>
      </c>
      <c r="Q92" s="76"/>
      <c r="R92" s="70">
        <f t="shared" si="3"/>
        <v>5</v>
      </c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>
      <c r="A93" s="58">
        <v>91.0</v>
      </c>
      <c r="B93" s="179" t="s">
        <v>661</v>
      </c>
      <c r="C93" s="61" t="s">
        <v>625</v>
      </c>
      <c r="D93" s="61">
        <v>24.0</v>
      </c>
      <c r="E93" s="63" t="s">
        <v>59</v>
      </c>
      <c r="F93" s="59" t="s">
        <v>255</v>
      </c>
      <c r="G93" s="61">
        <v>82.0</v>
      </c>
      <c r="H93" s="61">
        <v>27.0</v>
      </c>
      <c r="I93" s="61">
        <v>34.0</v>
      </c>
      <c r="J93" s="61">
        <f t="shared" si="1"/>
        <v>61</v>
      </c>
      <c r="K93" s="65">
        <f t="shared" si="2"/>
        <v>0.743902439</v>
      </c>
      <c r="L93" s="66">
        <v>6250000.0</v>
      </c>
      <c r="M93" s="63"/>
      <c r="N93" s="63"/>
      <c r="O93" s="58">
        <v>70.0</v>
      </c>
      <c r="P93" s="58" t="s">
        <v>663</v>
      </c>
      <c r="Q93" s="38"/>
      <c r="R93" s="70">
        <f t="shared" si="3"/>
        <v>9</v>
      </c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>
      <c r="A94" s="58">
        <v>92.0</v>
      </c>
      <c r="B94" s="180" t="s">
        <v>665</v>
      </c>
      <c r="C94" s="61" t="s">
        <v>625</v>
      </c>
      <c r="D94" s="61">
        <v>33.0</v>
      </c>
      <c r="E94" s="58" t="s">
        <v>123</v>
      </c>
      <c r="F94" s="59" t="s">
        <v>114</v>
      </c>
      <c r="G94" s="61">
        <v>70.0</v>
      </c>
      <c r="H94" s="61">
        <v>23.0</v>
      </c>
      <c r="I94" s="61">
        <v>29.0</v>
      </c>
      <c r="J94" s="61">
        <f t="shared" si="1"/>
        <v>52</v>
      </c>
      <c r="K94" s="65">
        <f t="shared" si="2"/>
        <v>0.7428571429</v>
      </c>
      <c r="L94" s="66">
        <v>5000000.0</v>
      </c>
      <c r="M94" s="58" t="s">
        <v>77</v>
      </c>
      <c r="N94" s="63"/>
      <c r="O94" s="58">
        <v>70.0</v>
      </c>
      <c r="P94" s="58" t="s">
        <v>667</v>
      </c>
      <c r="Q94" s="76"/>
      <c r="R94" s="70">
        <f t="shared" si="3"/>
        <v>18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>
      <c r="A95" s="58">
        <v>93.0</v>
      </c>
      <c r="B95" s="180" t="s">
        <v>668</v>
      </c>
      <c r="C95" s="61" t="s">
        <v>625</v>
      </c>
      <c r="D95" s="61">
        <v>31.0</v>
      </c>
      <c r="E95" s="58" t="s">
        <v>123</v>
      </c>
      <c r="F95" s="59" t="s">
        <v>73</v>
      </c>
      <c r="G95" s="61">
        <v>70.0</v>
      </c>
      <c r="H95" s="61">
        <v>20.0</v>
      </c>
      <c r="I95" s="61">
        <v>32.0</v>
      </c>
      <c r="J95" s="61">
        <f t="shared" si="1"/>
        <v>52</v>
      </c>
      <c r="K95" s="65">
        <f t="shared" si="2"/>
        <v>0.7428571429</v>
      </c>
      <c r="L95" s="66">
        <v>6125000.0</v>
      </c>
      <c r="M95" s="58" t="s">
        <v>77</v>
      </c>
      <c r="N95" s="58" t="s">
        <v>77</v>
      </c>
      <c r="O95" s="58">
        <v>70.0</v>
      </c>
      <c r="P95" s="58" t="s">
        <v>671</v>
      </c>
      <c r="Q95" s="38"/>
      <c r="R95" s="70">
        <f t="shared" si="3"/>
        <v>18</v>
      </c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>
      <c r="A96" s="58">
        <v>94.0</v>
      </c>
      <c r="B96" s="179" t="s">
        <v>673</v>
      </c>
      <c r="C96" s="61" t="s">
        <v>625</v>
      </c>
      <c r="D96" s="61">
        <v>24.0</v>
      </c>
      <c r="E96" s="58" t="s">
        <v>165</v>
      </c>
      <c r="F96" s="59" t="s">
        <v>83</v>
      </c>
      <c r="G96" s="61">
        <v>84.0</v>
      </c>
      <c r="H96" s="61">
        <v>28.0</v>
      </c>
      <c r="I96" s="61">
        <v>34.0</v>
      </c>
      <c r="J96" s="61">
        <f t="shared" si="1"/>
        <v>62</v>
      </c>
      <c r="K96" s="65">
        <f t="shared" si="2"/>
        <v>0.7380952381</v>
      </c>
      <c r="L96" s="66">
        <v>7700000.0</v>
      </c>
      <c r="M96" s="63"/>
      <c r="N96" s="63"/>
      <c r="O96" s="58">
        <v>75.0</v>
      </c>
      <c r="P96" s="58" t="s">
        <v>675</v>
      </c>
      <c r="Q96" s="38"/>
      <c r="R96" s="70">
        <f t="shared" si="3"/>
        <v>13</v>
      </c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>
      <c r="A97" s="58">
        <v>95.0</v>
      </c>
      <c r="B97" s="58" t="s">
        <v>677</v>
      </c>
      <c r="C97" s="61" t="s">
        <v>625</v>
      </c>
      <c r="D97" s="61">
        <v>33.0</v>
      </c>
      <c r="E97" s="58" t="s">
        <v>59</v>
      </c>
      <c r="F97" s="58" t="s">
        <v>57</v>
      </c>
      <c r="G97" s="58">
        <v>84.0</v>
      </c>
      <c r="H97" s="58">
        <v>20.0</v>
      </c>
      <c r="I97" s="58">
        <v>42.0</v>
      </c>
      <c r="J97" s="58">
        <f t="shared" si="1"/>
        <v>62</v>
      </c>
      <c r="K97" s="65">
        <f t="shared" si="2"/>
        <v>0.7380952381</v>
      </c>
      <c r="L97" s="66">
        <v>5625000.0</v>
      </c>
      <c r="M97" s="63"/>
      <c r="N97" s="63"/>
      <c r="O97" s="58">
        <v>75.0</v>
      </c>
      <c r="P97" s="58" t="s">
        <v>680</v>
      </c>
      <c r="Q97" s="38"/>
      <c r="R97" s="38">
        <f t="shared" si="3"/>
        <v>13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>
      <c r="A98" s="58">
        <v>96.0</v>
      </c>
      <c r="B98" s="58" t="s">
        <v>682</v>
      </c>
      <c r="C98" s="61" t="s">
        <v>625</v>
      </c>
      <c r="D98" s="61">
        <v>30.0</v>
      </c>
      <c r="E98" s="58" t="s">
        <v>165</v>
      </c>
      <c r="F98" s="58" t="s">
        <v>269</v>
      </c>
      <c r="G98" s="58">
        <v>84.0</v>
      </c>
      <c r="H98" s="58">
        <v>29.0</v>
      </c>
      <c r="I98" s="58">
        <v>33.0</v>
      </c>
      <c r="J98" s="58">
        <f t="shared" si="1"/>
        <v>62</v>
      </c>
      <c r="K98" s="65">
        <f t="shared" si="2"/>
        <v>0.7380952381</v>
      </c>
      <c r="L98" s="66">
        <v>5000000.0</v>
      </c>
      <c r="M98" s="63"/>
      <c r="N98" s="63"/>
      <c r="O98" s="58">
        <v>70.0</v>
      </c>
      <c r="P98" s="58" t="s">
        <v>683</v>
      </c>
      <c r="Q98" s="38"/>
      <c r="R98" s="38">
        <f t="shared" si="3"/>
        <v>8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</row>
    <row r="99">
      <c r="A99" s="58">
        <v>97.0</v>
      </c>
      <c r="B99" s="59" t="s">
        <v>685</v>
      </c>
      <c r="C99" s="61" t="s">
        <v>625</v>
      </c>
      <c r="D99" s="61">
        <v>21.0</v>
      </c>
      <c r="E99" s="58" t="s">
        <v>165</v>
      </c>
      <c r="F99" s="59" t="s">
        <v>98</v>
      </c>
      <c r="G99" s="61">
        <v>80.0</v>
      </c>
      <c r="H99" s="61">
        <v>19.0</v>
      </c>
      <c r="I99" s="61">
        <v>40.0</v>
      </c>
      <c r="J99" s="61">
        <f t="shared" si="1"/>
        <v>59</v>
      </c>
      <c r="K99" s="65">
        <f t="shared" si="2"/>
        <v>0.7375</v>
      </c>
      <c r="L99" s="66">
        <v>7500000.0</v>
      </c>
      <c r="M99" s="178"/>
      <c r="N99" s="178"/>
      <c r="O99" s="58">
        <v>70.0</v>
      </c>
      <c r="P99" s="58" t="s">
        <v>686</v>
      </c>
      <c r="Q99" s="76"/>
      <c r="R99" s="70">
        <f t="shared" si="3"/>
        <v>11</v>
      </c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</row>
    <row r="100">
      <c r="A100" s="58">
        <v>98.0</v>
      </c>
      <c r="B100" s="58" t="s">
        <v>687</v>
      </c>
      <c r="C100" s="61" t="s">
        <v>625</v>
      </c>
      <c r="D100" s="61">
        <v>30.0</v>
      </c>
      <c r="E100" s="58" t="s">
        <v>165</v>
      </c>
      <c r="F100" s="58" t="s">
        <v>170</v>
      </c>
      <c r="G100" s="58">
        <v>84.0</v>
      </c>
      <c r="H100" s="58">
        <v>23.0</v>
      </c>
      <c r="I100" s="58">
        <v>38.0</v>
      </c>
      <c r="J100" s="58">
        <f t="shared" si="1"/>
        <v>61</v>
      </c>
      <c r="K100" s="65">
        <f t="shared" si="2"/>
        <v>0.7261904762</v>
      </c>
      <c r="L100" s="66">
        <v>5000000.0</v>
      </c>
      <c r="M100" s="63"/>
      <c r="N100" s="63"/>
      <c r="O100" s="58">
        <v>65.0</v>
      </c>
      <c r="P100" s="58" t="s">
        <v>688</v>
      </c>
      <c r="Q100" s="38"/>
      <c r="R100" s="38">
        <f t="shared" si="3"/>
        <v>4</v>
      </c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</row>
    <row r="101">
      <c r="A101" s="58">
        <v>99.0</v>
      </c>
      <c r="B101" s="59" t="s">
        <v>689</v>
      </c>
      <c r="C101" s="61" t="s">
        <v>625</v>
      </c>
      <c r="D101" s="61">
        <v>34.0</v>
      </c>
      <c r="E101" s="63" t="s">
        <v>59</v>
      </c>
      <c r="F101" s="59" t="s">
        <v>64</v>
      </c>
      <c r="G101" s="61">
        <v>84.0</v>
      </c>
      <c r="H101" s="61">
        <v>31.0</v>
      </c>
      <c r="I101" s="61">
        <v>30.0</v>
      </c>
      <c r="J101" s="61">
        <f t="shared" si="1"/>
        <v>61</v>
      </c>
      <c r="K101" s="65">
        <f t="shared" si="2"/>
        <v>0.7261904762</v>
      </c>
      <c r="L101" s="66">
        <v>7500000.0</v>
      </c>
      <c r="M101" s="63"/>
      <c r="N101" s="63"/>
      <c r="O101" s="58">
        <v>65.0</v>
      </c>
      <c r="P101" s="58" t="s">
        <v>690</v>
      </c>
      <c r="Q101" s="38"/>
      <c r="R101" s="70">
        <f t="shared" si="3"/>
        <v>4</v>
      </c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>
      <c r="A102" s="58">
        <v>100.0</v>
      </c>
      <c r="B102" s="59" t="s">
        <v>691</v>
      </c>
      <c r="C102" s="61" t="s">
        <v>625</v>
      </c>
      <c r="D102" s="61">
        <v>29.0</v>
      </c>
      <c r="E102" s="63" t="s">
        <v>59</v>
      </c>
      <c r="F102" s="59" t="s">
        <v>54</v>
      </c>
      <c r="G102" s="61">
        <v>70.0</v>
      </c>
      <c r="H102" s="61">
        <v>18.0</v>
      </c>
      <c r="I102" s="61">
        <v>32.0</v>
      </c>
      <c r="J102" s="61">
        <f t="shared" si="1"/>
        <v>50</v>
      </c>
      <c r="K102" s="65">
        <f t="shared" si="2"/>
        <v>0.7142857143</v>
      </c>
      <c r="L102" s="66">
        <v>5250000.0</v>
      </c>
      <c r="M102" s="58" t="s">
        <v>77</v>
      </c>
      <c r="N102" s="178"/>
      <c r="O102" s="58">
        <v>65.0</v>
      </c>
      <c r="P102" s="58" t="s">
        <v>692</v>
      </c>
      <c r="Q102" s="38"/>
      <c r="R102" s="70">
        <f t="shared" si="3"/>
        <v>15</v>
      </c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>
      <c r="A103" s="58">
        <v>101.0</v>
      </c>
      <c r="B103" s="58" t="s">
        <v>693</v>
      </c>
      <c r="C103" s="61" t="s">
        <v>625</v>
      </c>
      <c r="D103" s="61">
        <v>31.0</v>
      </c>
      <c r="E103" s="58" t="s">
        <v>59</v>
      </c>
      <c r="F103" s="58" t="s">
        <v>65</v>
      </c>
      <c r="G103" s="58">
        <v>84.0</v>
      </c>
      <c r="H103" s="58">
        <v>31.0</v>
      </c>
      <c r="I103" s="58">
        <v>29.0</v>
      </c>
      <c r="J103" s="58">
        <f t="shared" si="1"/>
        <v>60</v>
      </c>
      <c r="K103" s="65">
        <f t="shared" si="2"/>
        <v>0.7142857143</v>
      </c>
      <c r="L103" s="66">
        <v>8500000.0</v>
      </c>
      <c r="M103" s="63"/>
      <c r="N103" s="63"/>
      <c r="O103" s="58">
        <v>70.0</v>
      </c>
      <c r="P103" s="58" t="s">
        <v>694</v>
      </c>
      <c r="Q103" s="76"/>
      <c r="R103" s="38">
        <f t="shared" si="3"/>
        <v>10</v>
      </c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</row>
    <row r="104">
      <c r="A104" s="58">
        <v>102.0</v>
      </c>
      <c r="B104" s="59" t="s">
        <v>695</v>
      </c>
      <c r="C104" s="61" t="s">
        <v>625</v>
      </c>
      <c r="D104" s="61">
        <v>35.0</v>
      </c>
      <c r="E104" s="63" t="s">
        <v>59</v>
      </c>
      <c r="F104" s="59" t="s">
        <v>64</v>
      </c>
      <c r="G104" s="61">
        <v>84.0</v>
      </c>
      <c r="H104" s="61">
        <v>21.0</v>
      </c>
      <c r="I104" s="61">
        <v>39.0</v>
      </c>
      <c r="J104" s="61">
        <f t="shared" si="1"/>
        <v>60</v>
      </c>
      <c r="K104" s="65">
        <f t="shared" si="2"/>
        <v>0.7142857143</v>
      </c>
      <c r="L104" s="66">
        <v>7000000.0</v>
      </c>
      <c r="M104" s="63"/>
      <c r="N104" s="63"/>
      <c r="O104" s="58">
        <v>70.0</v>
      </c>
      <c r="P104" s="58" t="s">
        <v>696</v>
      </c>
      <c r="Q104" s="38"/>
      <c r="R104" s="70">
        <f t="shared" si="3"/>
        <v>10</v>
      </c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</row>
    <row r="105">
      <c r="A105" s="58">
        <v>103.0</v>
      </c>
      <c r="B105" s="58" t="s">
        <v>697</v>
      </c>
      <c r="C105" s="61" t="s">
        <v>625</v>
      </c>
      <c r="D105" s="61">
        <v>29.0</v>
      </c>
      <c r="E105" s="58" t="s">
        <v>59</v>
      </c>
      <c r="F105" s="58" t="s">
        <v>124</v>
      </c>
      <c r="G105" s="58">
        <v>75.0</v>
      </c>
      <c r="H105" s="58">
        <v>23.0</v>
      </c>
      <c r="I105" s="58">
        <v>30.0</v>
      </c>
      <c r="J105" s="58">
        <f t="shared" si="1"/>
        <v>53</v>
      </c>
      <c r="K105" s="65">
        <f t="shared" si="2"/>
        <v>0.7066666667</v>
      </c>
      <c r="L105" s="66">
        <v>6250000.0</v>
      </c>
      <c r="M105" s="63"/>
      <c r="N105" s="63"/>
      <c r="O105" s="58">
        <v>60.0</v>
      </c>
      <c r="P105" s="58" t="s">
        <v>698</v>
      </c>
      <c r="Q105" s="38"/>
      <c r="R105" s="38">
        <f t="shared" si="3"/>
        <v>7</v>
      </c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</row>
    <row r="106">
      <c r="A106" s="58">
        <v>104.0</v>
      </c>
      <c r="B106" s="77" t="s">
        <v>699</v>
      </c>
      <c r="C106" s="94" t="s">
        <v>625</v>
      </c>
      <c r="D106" s="94">
        <v>23.0</v>
      </c>
      <c r="E106" s="77" t="s">
        <v>600</v>
      </c>
      <c r="F106" s="77" t="s">
        <v>145</v>
      </c>
      <c r="G106" s="77">
        <v>78.0</v>
      </c>
      <c r="H106" s="77">
        <v>22.0</v>
      </c>
      <c r="I106" s="77">
        <v>33.0</v>
      </c>
      <c r="J106" s="77">
        <f t="shared" si="1"/>
        <v>55</v>
      </c>
      <c r="K106" s="97">
        <f t="shared" si="2"/>
        <v>0.7051282051</v>
      </c>
      <c r="L106" s="98">
        <v>7000000.0</v>
      </c>
      <c r="M106" s="99"/>
      <c r="N106" s="77"/>
      <c r="O106" s="77">
        <v>65.0</v>
      </c>
      <c r="P106" s="77" t="s">
        <v>700</v>
      </c>
      <c r="Q106" s="206"/>
      <c r="R106" s="206">
        <f t="shared" si="3"/>
        <v>10</v>
      </c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  <c r="AC106" s="206"/>
      <c r="AD106" s="206"/>
    </row>
    <row r="107">
      <c r="A107" s="58">
        <v>105.0</v>
      </c>
      <c r="B107" s="58" t="s">
        <v>701</v>
      </c>
      <c r="C107" s="61" t="s">
        <v>625</v>
      </c>
      <c r="D107" s="61">
        <v>19.0</v>
      </c>
      <c r="E107" s="58" t="s">
        <v>123</v>
      </c>
      <c r="F107" s="58" t="s">
        <v>185</v>
      </c>
      <c r="G107" s="58">
        <v>84.0</v>
      </c>
      <c r="H107" s="58">
        <v>26.0</v>
      </c>
      <c r="I107" s="58">
        <v>33.0</v>
      </c>
      <c r="J107" s="58">
        <f t="shared" si="1"/>
        <v>59</v>
      </c>
      <c r="K107" s="65">
        <f t="shared" si="2"/>
        <v>0.7023809524</v>
      </c>
      <c r="L107" s="66">
        <v>977917.0</v>
      </c>
      <c r="M107" s="63"/>
      <c r="N107" s="63"/>
      <c r="O107" s="58">
        <v>75.0</v>
      </c>
      <c r="P107" s="58" t="s">
        <v>702</v>
      </c>
      <c r="Q107" s="38"/>
      <c r="R107" s="38">
        <f t="shared" si="3"/>
        <v>16</v>
      </c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</row>
    <row r="108">
      <c r="A108" s="58">
        <v>106.0</v>
      </c>
      <c r="B108" s="59" t="s">
        <v>703</v>
      </c>
      <c r="C108" s="61" t="s">
        <v>625</v>
      </c>
      <c r="D108" s="61">
        <v>23.0</v>
      </c>
      <c r="E108" s="58" t="s">
        <v>123</v>
      </c>
      <c r="F108" s="59" t="s">
        <v>155</v>
      </c>
      <c r="G108" s="61">
        <v>84.0</v>
      </c>
      <c r="H108" s="61">
        <v>25.0</v>
      </c>
      <c r="I108" s="61">
        <v>34.0</v>
      </c>
      <c r="J108" s="61">
        <f t="shared" si="1"/>
        <v>59</v>
      </c>
      <c r="K108" s="65">
        <f t="shared" si="2"/>
        <v>0.7023809524</v>
      </c>
      <c r="L108" s="66">
        <v>5117002.0</v>
      </c>
      <c r="M108" s="178"/>
      <c r="N108" s="63"/>
      <c r="O108" s="58">
        <v>65.0</v>
      </c>
      <c r="P108" s="58" t="s">
        <v>704</v>
      </c>
      <c r="Q108" s="38"/>
      <c r="R108" s="70">
        <f t="shared" si="3"/>
        <v>6</v>
      </c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>
      <c r="A109" s="58">
        <v>107.0</v>
      </c>
      <c r="B109" s="58" t="s">
        <v>705</v>
      </c>
      <c r="C109" s="61" t="s">
        <v>625</v>
      </c>
      <c r="D109" s="61">
        <v>36.0</v>
      </c>
      <c r="E109" s="58" t="s">
        <v>165</v>
      </c>
      <c r="F109" s="58" t="s">
        <v>196</v>
      </c>
      <c r="G109" s="58">
        <v>84.0</v>
      </c>
      <c r="H109" s="58">
        <v>34.0</v>
      </c>
      <c r="I109" s="58">
        <v>25.0</v>
      </c>
      <c r="J109" s="58">
        <f t="shared" si="1"/>
        <v>59</v>
      </c>
      <c r="K109" s="65">
        <f t="shared" si="2"/>
        <v>0.7023809524</v>
      </c>
      <c r="L109" s="66">
        <v>8000000.0</v>
      </c>
      <c r="M109" s="63"/>
      <c r="N109" s="58" t="s">
        <v>77</v>
      </c>
      <c r="O109" s="58">
        <v>65.0</v>
      </c>
      <c r="P109" s="58" t="s">
        <v>706</v>
      </c>
      <c r="Q109" s="76"/>
      <c r="R109" s="38">
        <f t="shared" si="3"/>
        <v>6</v>
      </c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</row>
    <row r="110">
      <c r="A110" s="58">
        <v>108.0</v>
      </c>
      <c r="B110" s="59" t="s">
        <v>707</v>
      </c>
      <c r="C110" s="61" t="s">
        <v>625</v>
      </c>
      <c r="D110" s="61">
        <v>34.0</v>
      </c>
      <c r="E110" s="63" t="s">
        <v>59</v>
      </c>
      <c r="F110" s="59" t="s">
        <v>192</v>
      </c>
      <c r="G110" s="61">
        <v>70.0</v>
      </c>
      <c r="H110" s="61">
        <v>18.0</v>
      </c>
      <c r="I110" s="61">
        <v>31.0</v>
      </c>
      <c r="J110" s="61">
        <f t="shared" si="1"/>
        <v>49</v>
      </c>
      <c r="K110" s="65">
        <f t="shared" si="2"/>
        <v>0.7</v>
      </c>
      <c r="L110" s="66">
        <v>7000000.0</v>
      </c>
      <c r="M110" s="58" t="s">
        <v>77</v>
      </c>
      <c r="N110" s="63"/>
      <c r="O110" s="58">
        <v>60.0</v>
      </c>
      <c r="P110" s="58" t="s">
        <v>708</v>
      </c>
      <c r="Q110" s="76"/>
      <c r="R110" s="70">
        <f t="shared" si="3"/>
        <v>11</v>
      </c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</row>
    <row r="111">
      <c r="A111" s="207">
        <v>109.0</v>
      </c>
      <c r="B111" s="208" t="s">
        <v>709</v>
      </c>
      <c r="C111" s="209" t="s">
        <v>625</v>
      </c>
      <c r="D111" s="209">
        <v>38.0</v>
      </c>
      <c r="E111" s="210" t="s">
        <v>123</v>
      </c>
      <c r="F111" s="208" t="s">
        <v>181</v>
      </c>
      <c r="G111" s="209">
        <v>60.0</v>
      </c>
      <c r="H111" s="209">
        <v>20.0</v>
      </c>
      <c r="I111" s="209">
        <v>22.0</v>
      </c>
      <c r="J111" s="209">
        <f t="shared" si="1"/>
        <v>42</v>
      </c>
      <c r="K111" s="211">
        <f t="shared" si="2"/>
        <v>0.7</v>
      </c>
      <c r="L111" s="212">
        <v>5250000.0</v>
      </c>
      <c r="M111" s="213"/>
      <c r="N111" s="214"/>
      <c r="O111" s="210">
        <v>70.0</v>
      </c>
      <c r="P111" s="210" t="s">
        <v>710</v>
      </c>
      <c r="Q111" s="38"/>
      <c r="R111" s="70">
        <f t="shared" si="3"/>
        <v>28</v>
      </c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</row>
    <row r="112">
      <c r="A112" s="215">
        <v>110.0</v>
      </c>
      <c r="B112" s="216" t="s">
        <v>711</v>
      </c>
      <c r="C112" s="170" t="s">
        <v>712</v>
      </c>
      <c r="D112" s="170">
        <v>33.0</v>
      </c>
      <c r="E112" s="169" t="s">
        <v>404</v>
      </c>
      <c r="F112" s="217" t="s">
        <v>64</v>
      </c>
      <c r="G112" s="170">
        <v>62.0</v>
      </c>
      <c r="H112" s="170">
        <v>17.0</v>
      </c>
      <c r="I112" s="170">
        <v>26.0</v>
      </c>
      <c r="J112" s="170">
        <f t="shared" si="1"/>
        <v>43</v>
      </c>
      <c r="K112" s="171">
        <f t="shared" si="2"/>
        <v>0.6935483871</v>
      </c>
      <c r="L112" s="172">
        <v>7000000.0</v>
      </c>
      <c r="M112" s="169" t="s">
        <v>77</v>
      </c>
      <c r="N112" s="173"/>
      <c r="O112" s="169">
        <v>65.0</v>
      </c>
      <c r="P112" s="174" t="s">
        <v>713</v>
      </c>
      <c r="Q112" s="38"/>
      <c r="R112" s="70">
        <f t="shared" si="3"/>
        <v>22</v>
      </c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</row>
    <row r="113">
      <c r="A113" s="218">
        <v>111.0</v>
      </c>
      <c r="B113" s="175" t="s">
        <v>714</v>
      </c>
      <c r="C113" s="61" t="s">
        <v>712</v>
      </c>
      <c r="D113" s="61">
        <v>25.0</v>
      </c>
      <c r="E113" s="58" t="s">
        <v>165</v>
      </c>
      <c r="F113" s="58" t="s">
        <v>235</v>
      </c>
      <c r="G113" s="58">
        <v>78.0</v>
      </c>
      <c r="H113" s="58">
        <v>27.0</v>
      </c>
      <c r="I113" s="58">
        <v>27.0</v>
      </c>
      <c r="J113" s="58">
        <f t="shared" si="1"/>
        <v>54</v>
      </c>
      <c r="K113" s="65">
        <f t="shared" si="2"/>
        <v>0.6923076923</v>
      </c>
      <c r="L113" s="66">
        <v>3375000.0</v>
      </c>
      <c r="M113" s="63"/>
      <c r="N113" s="63"/>
      <c r="O113" s="58">
        <v>65.0</v>
      </c>
      <c r="P113" s="177" t="s">
        <v>715</v>
      </c>
      <c r="Q113" s="38"/>
      <c r="R113" s="38">
        <f t="shared" si="3"/>
        <v>11</v>
      </c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</row>
    <row r="114">
      <c r="A114" s="218">
        <v>112.0</v>
      </c>
      <c r="B114" s="219" t="s">
        <v>716</v>
      </c>
      <c r="C114" s="61" t="s">
        <v>712</v>
      </c>
      <c r="D114" s="61">
        <v>19.0</v>
      </c>
      <c r="E114" s="63" t="s">
        <v>59</v>
      </c>
      <c r="F114" s="59" t="s">
        <v>225</v>
      </c>
      <c r="G114" s="61">
        <v>84.0</v>
      </c>
      <c r="H114" s="61">
        <v>24.0</v>
      </c>
      <c r="I114" s="61">
        <v>34.0</v>
      </c>
      <c r="J114" s="61">
        <f t="shared" si="1"/>
        <v>58</v>
      </c>
      <c r="K114" s="65">
        <f t="shared" si="2"/>
        <v>0.6904761905</v>
      </c>
      <c r="L114" s="66">
        <v>986250.0</v>
      </c>
      <c r="M114" s="178"/>
      <c r="N114" s="58" t="s">
        <v>77</v>
      </c>
      <c r="O114" s="58">
        <v>65.0</v>
      </c>
      <c r="P114" s="177" t="s">
        <v>717</v>
      </c>
      <c r="Q114" s="76"/>
      <c r="R114" s="70">
        <f t="shared" si="3"/>
        <v>7</v>
      </c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>
      <c r="A115" s="218">
        <v>113.0</v>
      </c>
      <c r="B115" s="219" t="s">
        <v>718</v>
      </c>
      <c r="C115" s="61" t="s">
        <v>712</v>
      </c>
      <c r="D115" s="61">
        <v>24.0</v>
      </c>
      <c r="E115" s="58" t="s">
        <v>123</v>
      </c>
      <c r="F115" s="59" t="s">
        <v>98</v>
      </c>
      <c r="G115" s="61">
        <v>84.0</v>
      </c>
      <c r="H115" s="61">
        <v>23.0</v>
      </c>
      <c r="I115" s="61">
        <v>35.0</v>
      </c>
      <c r="J115" s="61">
        <f t="shared" si="1"/>
        <v>58</v>
      </c>
      <c r="K115" s="65">
        <f t="shared" si="2"/>
        <v>0.6904761905</v>
      </c>
      <c r="L115" s="66">
        <v>3375000.0</v>
      </c>
      <c r="M115" s="178"/>
      <c r="N115" s="178"/>
      <c r="O115" s="58">
        <v>65.0</v>
      </c>
      <c r="P115" s="177" t="s">
        <v>719</v>
      </c>
      <c r="Q115" s="76"/>
      <c r="R115" s="70">
        <f t="shared" si="3"/>
        <v>7</v>
      </c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</row>
    <row r="116">
      <c r="A116" s="218">
        <v>114.0</v>
      </c>
      <c r="B116" s="219" t="s">
        <v>720</v>
      </c>
      <c r="C116" s="61" t="s">
        <v>712</v>
      </c>
      <c r="D116" s="61">
        <v>22.0</v>
      </c>
      <c r="E116" s="63" t="s">
        <v>59</v>
      </c>
      <c r="F116" s="59" t="s">
        <v>225</v>
      </c>
      <c r="G116" s="61">
        <v>70.0</v>
      </c>
      <c r="H116" s="61">
        <v>20.0</v>
      </c>
      <c r="I116" s="61">
        <v>28.0</v>
      </c>
      <c r="J116" s="61">
        <f t="shared" si="1"/>
        <v>48</v>
      </c>
      <c r="K116" s="65">
        <f t="shared" si="2"/>
        <v>0.6857142857</v>
      </c>
      <c r="L116" s="66">
        <v>6599991.0</v>
      </c>
      <c r="M116" s="58" t="s">
        <v>77</v>
      </c>
      <c r="N116" s="63"/>
      <c r="O116" s="58">
        <v>70.0</v>
      </c>
      <c r="P116" s="177" t="s">
        <v>721</v>
      </c>
      <c r="Q116" s="38"/>
      <c r="R116" s="70">
        <f t="shared" si="3"/>
        <v>22</v>
      </c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</row>
    <row r="117">
      <c r="A117" s="218">
        <v>115.0</v>
      </c>
      <c r="B117" s="175" t="s">
        <v>722</v>
      </c>
      <c r="C117" s="61" t="s">
        <v>712</v>
      </c>
      <c r="D117" s="61">
        <v>31.0</v>
      </c>
      <c r="E117" s="58" t="s">
        <v>165</v>
      </c>
      <c r="F117" s="58" t="s">
        <v>96</v>
      </c>
      <c r="G117" s="58">
        <v>66.0</v>
      </c>
      <c r="H117" s="58">
        <v>20.0</v>
      </c>
      <c r="I117" s="58">
        <v>25.0</v>
      </c>
      <c r="J117" s="58">
        <f t="shared" si="1"/>
        <v>45</v>
      </c>
      <c r="K117" s="65">
        <f t="shared" si="2"/>
        <v>0.6818181818</v>
      </c>
      <c r="L117" s="66">
        <v>6750000.0</v>
      </c>
      <c r="M117" s="58" t="s">
        <v>77</v>
      </c>
      <c r="N117" s="63"/>
      <c r="O117" s="58">
        <v>65.0</v>
      </c>
      <c r="P117" s="177" t="s">
        <v>723</v>
      </c>
      <c r="Q117" s="76"/>
      <c r="R117" s="38">
        <f t="shared" si="3"/>
        <v>20</v>
      </c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>
      <c r="A118" s="218">
        <v>116.0</v>
      </c>
      <c r="B118" s="219" t="s">
        <v>724</v>
      </c>
      <c r="C118" s="61" t="s">
        <v>712</v>
      </c>
      <c r="D118" s="61">
        <v>30.0</v>
      </c>
      <c r="E118" s="58" t="s">
        <v>165</v>
      </c>
      <c r="F118" s="59" t="s">
        <v>255</v>
      </c>
      <c r="G118" s="61">
        <v>84.0</v>
      </c>
      <c r="H118" s="61">
        <v>28.0</v>
      </c>
      <c r="I118" s="61">
        <v>29.0</v>
      </c>
      <c r="J118" s="61">
        <f t="shared" si="1"/>
        <v>57</v>
      </c>
      <c r="K118" s="65">
        <f t="shared" si="2"/>
        <v>0.6785714286</v>
      </c>
      <c r="L118" s="66">
        <v>4200000.0</v>
      </c>
      <c r="M118" s="63"/>
      <c r="N118" s="63"/>
      <c r="O118" s="58">
        <v>70.0</v>
      </c>
      <c r="P118" s="177" t="s">
        <v>725</v>
      </c>
      <c r="Q118" s="38"/>
      <c r="R118" s="70">
        <f t="shared" si="3"/>
        <v>13</v>
      </c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>
      <c r="A119" s="218">
        <v>117.0</v>
      </c>
      <c r="B119" s="175" t="s">
        <v>726</v>
      </c>
      <c r="C119" s="61" t="s">
        <v>712</v>
      </c>
      <c r="D119" s="61">
        <v>30.0</v>
      </c>
      <c r="E119" s="58" t="s">
        <v>165</v>
      </c>
      <c r="F119" s="58" t="s">
        <v>269</v>
      </c>
      <c r="G119" s="58">
        <v>80.0</v>
      </c>
      <c r="H119" s="58">
        <v>30.0</v>
      </c>
      <c r="I119" s="58">
        <v>24.0</v>
      </c>
      <c r="J119" s="58">
        <f t="shared" si="1"/>
        <v>54</v>
      </c>
      <c r="K119" s="65">
        <f t="shared" si="2"/>
        <v>0.675</v>
      </c>
      <c r="L119" s="66">
        <v>5750000.0</v>
      </c>
      <c r="M119" s="63"/>
      <c r="N119" s="63"/>
      <c r="O119" s="58">
        <v>60.0</v>
      </c>
      <c r="P119" s="177" t="s">
        <v>727</v>
      </c>
      <c r="Q119" s="38"/>
      <c r="R119" s="38">
        <f t="shared" si="3"/>
        <v>6</v>
      </c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</row>
    <row r="120">
      <c r="A120" s="218">
        <v>118.0</v>
      </c>
      <c r="B120" s="175" t="s">
        <v>728</v>
      </c>
      <c r="C120" s="61" t="s">
        <v>712</v>
      </c>
      <c r="D120" s="61">
        <v>25.0</v>
      </c>
      <c r="E120" s="58" t="s">
        <v>59</v>
      </c>
      <c r="F120" s="58" t="s">
        <v>729</v>
      </c>
      <c r="G120" s="58">
        <v>70.0</v>
      </c>
      <c r="H120" s="58">
        <v>16.0</v>
      </c>
      <c r="I120" s="58">
        <v>31.0</v>
      </c>
      <c r="J120" s="58">
        <f t="shared" si="1"/>
        <v>47</v>
      </c>
      <c r="K120" s="65">
        <f t="shared" si="2"/>
        <v>0.6714285714</v>
      </c>
      <c r="L120" s="66">
        <v>5000000.0</v>
      </c>
      <c r="M120" s="63"/>
      <c r="N120" s="63"/>
      <c r="O120" s="58">
        <v>70.0</v>
      </c>
      <c r="P120" s="177" t="s">
        <v>730</v>
      </c>
      <c r="Q120" s="38"/>
      <c r="R120" s="38">
        <f t="shared" si="3"/>
        <v>23</v>
      </c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>
      <c r="A121" s="218">
        <v>119.0</v>
      </c>
      <c r="B121" s="219" t="s">
        <v>731</v>
      </c>
      <c r="C121" s="61" t="s">
        <v>712</v>
      </c>
      <c r="D121" s="220">
        <v>31.0</v>
      </c>
      <c r="E121" s="58" t="s">
        <v>165</v>
      </c>
      <c r="F121" s="59" t="s">
        <v>64</v>
      </c>
      <c r="G121" s="61">
        <v>70.0</v>
      </c>
      <c r="H121" s="61">
        <v>22.0</v>
      </c>
      <c r="I121" s="61">
        <v>25.0</v>
      </c>
      <c r="J121" s="61">
        <f t="shared" si="1"/>
        <v>47</v>
      </c>
      <c r="K121" s="65">
        <f t="shared" si="2"/>
        <v>0.6714285714</v>
      </c>
      <c r="L121" s="66">
        <v>4500000.0</v>
      </c>
      <c r="M121" s="58" t="s">
        <v>77</v>
      </c>
      <c r="N121" s="63"/>
      <c r="O121" s="58">
        <v>60.0</v>
      </c>
      <c r="P121" s="177" t="s">
        <v>732</v>
      </c>
      <c r="Q121" s="38"/>
      <c r="R121" s="70">
        <f t="shared" si="3"/>
        <v>13</v>
      </c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</row>
    <row r="122">
      <c r="A122" s="218">
        <v>120.0</v>
      </c>
      <c r="B122" s="175" t="s">
        <v>733</v>
      </c>
      <c r="C122" s="61" t="s">
        <v>712</v>
      </c>
      <c r="D122" s="61">
        <v>19.0</v>
      </c>
      <c r="E122" s="58" t="s">
        <v>59</v>
      </c>
      <c r="F122" s="58" t="s">
        <v>228</v>
      </c>
      <c r="G122" s="58">
        <v>84.0</v>
      </c>
      <c r="H122" s="58">
        <v>21.0</v>
      </c>
      <c r="I122" s="58">
        <v>35.0</v>
      </c>
      <c r="J122" s="58">
        <f t="shared" si="1"/>
        <v>56</v>
      </c>
      <c r="K122" s="65">
        <f t="shared" si="2"/>
        <v>0.6666666667</v>
      </c>
      <c r="L122" s="66">
        <v>986250.0</v>
      </c>
      <c r="M122" s="63"/>
      <c r="N122" s="58" t="s">
        <v>77</v>
      </c>
      <c r="O122" s="58">
        <v>70.0</v>
      </c>
      <c r="P122" s="177" t="s">
        <v>734</v>
      </c>
      <c r="Q122" s="38"/>
      <c r="R122" s="38">
        <f t="shared" si="3"/>
        <v>14</v>
      </c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</row>
    <row r="123">
      <c r="A123" s="218">
        <v>121.0</v>
      </c>
      <c r="B123" s="175" t="s">
        <v>735</v>
      </c>
      <c r="C123" s="61" t="s">
        <v>712</v>
      </c>
      <c r="D123" s="61">
        <v>21.0</v>
      </c>
      <c r="E123" s="58" t="s">
        <v>165</v>
      </c>
      <c r="F123" s="58" t="s">
        <v>88</v>
      </c>
      <c r="G123" s="58">
        <v>84.0</v>
      </c>
      <c r="H123" s="58">
        <v>24.0</v>
      </c>
      <c r="I123" s="58">
        <v>32.0</v>
      </c>
      <c r="J123" s="58">
        <f t="shared" si="1"/>
        <v>56</v>
      </c>
      <c r="K123" s="65">
        <f t="shared" si="2"/>
        <v>0.6666666667</v>
      </c>
      <c r="L123" s="66">
        <v>941667.0</v>
      </c>
      <c r="M123" s="63"/>
      <c r="N123" s="63"/>
      <c r="O123" s="58">
        <v>65.0</v>
      </c>
      <c r="P123" s="177" t="s">
        <v>736</v>
      </c>
      <c r="Q123" s="76"/>
      <c r="R123" s="38">
        <f t="shared" si="3"/>
        <v>9</v>
      </c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</row>
    <row r="124">
      <c r="A124" s="218">
        <v>122.0</v>
      </c>
      <c r="B124" s="175" t="s">
        <v>737</v>
      </c>
      <c r="C124" s="61" t="s">
        <v>712</v>
      </c>
      <c r="D124" s="61">
        <v>24.0</v>
      </c>
      <c r="E124" s="58" t="s">
        <v>212</v>
      </c>
      <c r="F124" s="58" t="s">
        <v>196</v>
      </c>
      <c r="G124" s="58">
        <v>84.0</v>
      </c>
      <c r="H124" s="58">
        <v>26.0</v>
      </c>
      <c r="I124" s="58">
        <v>30.0</v>
      </c>
      <c r="J124" s="58">
        <f t="shared" si="1"/>
        <v>56</v>
      </c>
      <c r="K124" s="65">
        <f t="shared" si="2"/>
        <v>0.6666666667</v>
      </c>
      <c r="L124" s="66">
        <v>5500000.0</v>
      </c>
      <c r="M124" s="63"/>
      <c r="N124" s="58" t="s">
        <v>77</v>
      </c>
      <c r="O124" s="58">
        <v>65.0</v>
      </c>
      <c r="P124" s="177" t="s">
        <v>738</v>
      </c>
      <c r="Q124" s="38"/>
      <c r="R124" s="38">
        <f t="shared" si="3"/>
        <v>9</v>
      </c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</row>
    <row r="125">
      <c r="A125" s="218">
        <v>123.0</v>
      </c>
      <c r="B125" s="175" t="s">
        <v>739</v>
      </c>
      <c r="C125" s="61" t="s">
        <v>712</v>
      </c>
      <c r="D125" s="61">
        <v>25.0</v>
      </c>
      <c r="E125" s="58" t="s">
        <v>404</v>
      </c>
      <c r="F125" s="58" t="s">
        <v>145</v>
      </c>
      <c r="G125" s="58">
        <v>84.0</v>
      </c>
      <c r="H125" s="58">
        <v>18.0</v>
      </c>
      <c r="I125" s="58">
        <v>38.0</v>
      </c>
      <c r="J125" s="58">
        <f t="shared" si="1"/>
        <v>56</v>
      </c>
      <c r="K125" s="65">
        <f t="shared" si="2"/>
        <v>0.6666666667</v>
      </c>
      <c r="L125" s="66">
        <v>6500000.0</v>
      </c>
      <c r="M125" s="63"/>
      <c r="N125" s="63"/>
      <c r="O125" s="58">
        <v>60.0</v>
      </c>
      <c r="P125" s="177" t="s">
        <v>740</v>
      </c>
      <c r="Q125" s="38"/>
      <c r="R125" s="38">
        <f t="shared" si="3"/>
        <v>4</v>
      </c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</row>
    <row r="126">
      <c r="A126" s="218">
        <v>124.0</v>
      </c>
      <c r="B126" s="219" t="s">
        <v>741</v>
      </c>
      <c r="C126" s="61" t="s">
        <v>712</v>
      </c>
      <c r="D126" s="61">
        <v>27.0</v>
      </c>
      <c r="E126" s="63" t="s">
        <v>59</v>
      </c>
      <c r="F126" s="59" t="s">
        <v>98</v>
      </c>
      <c r="G126" s="61">
        <v>54.0</v>
      </c>
      <c r="H126" s="61">
        <v>13.0</v>
      </c>
      <c r="I126" s="61">
        <v>23.0</v>
      </c>
      <c r="J126" s="61">
        <f t="shared" si="1"/>
        <v>36</v>
      </c>
      <c r="K126" s="65">
        <f t="shared" si="2"/>
        <v>0.6666666667</v>
      </c>
      <c r="L126" s="66">
        <v>7950000.0</v>
      </c>
      <c r="M126" s="58" t="s">
        <v>77</v>
      </c>
      <c r="N126" s="58" t="s">
        <v>77</v>
      </c>
      <c r="O126" s="58">
        <v>65.0</v>
      </c>
      <c r="P126" s="177" t="s">
        <v>742</v>
      </c>
      <c r="Q126" s="38"/>
      <c r="R126" s="70">
        <f t="shared" si="3"/>
        <v>29</v>
      </c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</row>
    <row r="127">
      <c r="A127" s="218">
        <v>125.0</v>
      </c>
      <c r="B127" s="219" t="s">
        <v>743</v>
      </c>
      <c r="C127" s="61" t="s">
        <v>712</v>
      </c>
      <c r="D127" s="61">
        <v>29.0</v>
      </c>
      <c r="E127" s="63" t="s">
        <v>59</v>
      </c>
      <c r="F127" s="59" t="s">
        <v>83</v>
      </c>
      <c r="G127" s="61">
        <v>84.0</v>
      </c>
      <c r="H127" s="61">
        <v>20.0</v>
      </c>
      <c r="I127" s="61">
        <v>36.0</v>
      </c>
      <c r="J127" s="61">
        <f t="shared" si="1"/>
        <v>56</v>
      </c>
      <c r="K127" s="65">
        <f t="shared" si="2"/>
        <v>0.6666666667</v>
      </c>
      <c r="L127" s="66">
        <v>4750000.0</v>
      </c>
      <c r="M127" s="63"/>
      <c r="N127" s="58" t="s">
        <v>77</v>
      </c>
      <c r="O127" s="58">
        <v>65.0</v>
      </c>
      <c r="P127" s="177" t="s">
        <v>744</v>
      </c>
      <c r="Q127" s="38"/>
      <c r="R127" s="70">
        <f t="shared" si="3"/>
        <v>9</v>
      </c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</row>
    <row r="128">
      <c r="A128" s="218">
        <v>126.0</v>
      </c>
      <c r="B128" s="175" t="s">
        <v>745</v>
      </c>
      <c r="C128" s="61" t="s">
        <v>712</v>
      </c>
      <c r="D128" s="61">
        <v>34.0</v>
      </c>
      <c r="E128" s="58" t="s">
        <v>386</v>
      </c>
      <c r="F128" s="59" t="s">
        <v>43</v>
      </c>
      <c r="G128" s="61">
        <v>63.0</v>
      </c>
      <c r="H128" s="61">
        <v>15.0</v>
      </c>
      <c r="I128" s="61">
        <v>27.0</v>
      </c>
      <c r="J128" s="61">
        <f t="shared" si="1"/>
        <v>42</v>
      </c>
      <c r="K128" s="65">
        <f t="shared" si="2"/>
        <v>0.6666666667</v>
      </c>
      <c r="L128" s="66">
        <v>9850000.0</v>
      </c>
      <c r="M128" s="58" t="s">
        <v>77</v>
      </c>
      <c r="N128" s="58" t="s">
        <v>77</v>
      </c>
      <c r="O128" s="58">
        <v>60.0</v>
      </c>
      <c r="P128" s="177" t="s">
        <v>746</v>
      </c>
      <c r="Q128" s="38"/>
      <c r="R128" s="70">
        <f t="shared" si="3"/>
        <v>18</v>
      </c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</row>
    <row r="129">
      <c r="A129" s="218">
        <v>127.0</v>
      </c>
      <c r="B129" s="175" t="s">
        <v>747</v>
      </c>
      <c r="C129" s="61" t="s">
        <v>712</v>
      </c>
      <c r="D129" s="61">
        <v>32.0</v>
      </c>
      <c r="E129" s="58" t="s">
        <v>59</v>
      </c>
      <c r="F129" s="58" t="s">
        <v>170</v>
      </c>
      <c r="G129" s="58">
        <v>65.0</v>
      </c>
      <c r="H129" s="58">
        <v>20.0</v>
      </c>
      <c r="I129" s="58">
        <v>23.0</v>
      </c>
      <c r="J129" s="58">
        <f t="shared" si="1"/>
        <v>43</v>
      </c>
      <c r="K129" s="65">
        <f t="shared" si="2"/>
        <v>0.6615384615</v>
      </c>
      <c r="L129" s="66">
        <v>8137500.0</v>
      </c>
      <c r="M129" s="58" t="s">
        <v>77</v>
      </c>
      <c r="N129" s="58" t="s">
        <v>77</v>
      </c>
      <c r="O129" s="58">
        <v>65.0</v>
      </c>
      <c r="P129" s="177" t="s">
        <v>748</v>
      </c>
      <c r="Q129" s="38"/>
      <c r="R129" s="38">
        <f t="shared" si="3"/>
        <v>22</v>
      </c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</row>
    <row r="130">
      <c r="A130" s="218">
        <v>128.0</v>
      </c>
      <c r="B130" s="175" t="s">
        <v>749</v>
      </c>
      <c r="C130" s="61" t="s">
        <v>712</v>
      </c>
      <c r="D130" s="61">
        <v>32.0</v>
      </c>
      <c r="E130" s="58" t="s">
        <v>123</v>
      </c>
      <c r="F130" s="58" t="s">
        <v>235</v>
      </c>
      <c r="G130" s="58">
        <v>70.0</v>
      </c>
      <c r="H130" s="58">
        <v>23.0</v>
      </c>
      <c r="I130" s="58">
        <v>23.0</v>
      </c>
      <c r="J130" s="58">
        <f t="shared" si="1"/>
        <v>46</v>
      </c>
      <c r="K130" s="65">
        <f t="shared" si="2"/>
        <v>0.6571428571</v>
      </c>
      <c r="L130" s="66">
        <v>6540000.0</v>
      </c>
      <c r="M130" s="63"/>
      <c r="N130" s="63"/>
      <c r="O130" s="58">
        <v>70.0</v>
      </c>
      <c r="P130" s="177" t="s">
        <v>750</v>
      </c>
      <c r="Q130" s="38"/>
      <c r="R130" s="38">
        <f t="shared" si="3"/>
        <v>24</v>
      </c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</row>
    <row r="131">
      <c r="A131" s="218">
        <v>129.0</v>
      </c>
      <c r="B131" s="175" t="s">
        <v>751</v>
      </c>
      <c r="C131" s="61" t="s">
        <v>712</v>
      </c>
      <c r="D131" s="61">
        <v>27.0</v>
      </c>
      <c r="E131" s="58" t="s">
        <v>59</v>
      </c>
      <c r="F131" s="58" t="s">
        <v>729</v>
      </c>
      <c r="G131" s="58">
        <v>70.0</v>
      </c>
      <c r="H131" s="58">
        <v>16.0</v>
      </c>
      <c r="I131" s="58">
        <v>30.0</v>
      </c>
      <c r="J131" s="58">
        <f t="shared" si="1"/>
        <v>46</v>
      </c>
      <c r="K131" s="65">
        <f t="shared" si="2"/>
        <v>0.6571428571</v>
      </c>
      <c r="L131" s="66">
        <v>1.16E7</v>
      </c>
      <c r="M131" s="58" t="s">
        <v>77</v>
      </c>
      <c r="N131" s="58" t="s">
        <v>77</v>
      </c>
      <c r="O131" s="58">
        <v>65.0</v>
      </c>
      <c r="P131" s="177" t="s">
        <v>752</v>
      </c>
      <c r="Q131" s="38"/>
      <c r="R131" s="38">
        <f t="shared" si="3"/>
        <v>19</v>
      </c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</row>
    <row r="132">
      <c r="A132" s="218">
        <v>130.0</v>
      </c>
      <c r="B132" s="219" t="s">
        <v>753</v>
      </c>
      <c r="C132" s="61" t="s">
        <v>712</v>
      </c>
      <c r="D132" s="61">
        <v>23.0</v>
      </c>
      <c r="E132" s="58" t="s">
        <v>123</v>
      </c>
      <c r="F132" s="59" t="s">
        <v>262</v>
      </c>
      <c r="G132" s="61">
        <v>84.0</v>
      </c>
      <c r="H132" s="61">
        <v>25.0</v>
      </c>
      <c r="I132" s="61">
        <v>30.0</v>
      </c>
      <c r="J132" s="61">
        <f t="shared" si="1"/>
        <v>55</v>
      </c>
      <c r="K132" s="65">
        <f t="shared" si="2"/>
        <v>0.6547619048</v>
      </c>
      <c r="L132" s="66">
        <v>6500000.0</v>
      </c>
      <c r="M132" s="63"/>
      <c r="N132" s="58" t="s">
        <v>77</v>
      </c>
      <c r="O132" s="58">
        <v>65.0</v>
      </c>
      <c r="P132" s="177" t="s">
        <v>754</v>
      </c>
      <c r="Q132" s="38"/>
      <c r="R132" s="70">
        <f t="shared" si="3"/>
        <v>10</v>
      </c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</row>
    <row r="133">
      <c r="A133" s="218">
        <v>131.0</v>
      </c>
      <c r="B133" s="175" t="s">
        <v>755</v>
      </c>
      <c r="C133" s="61" t="s">
        <v>712</v>
      </c>
      <c r="D133" s="61">
        <v>25.0</v>
      </c>
      <c r="E133" s="58" t="s">
        <v>59</v>
      </c>
      <c r="F133" s="58" t="s">
        <v>122</v>
      </c>
      <c r="G133" s="58">
        <v>84.0</v>
      </c>
      <c r="H133" s="58">
        <v>25.0</v>
      </c>
      <c r="I133" s="58">
        <v>30.0</v>
      </c>
      <c r="J133" s="58">
        <f t="shared" si="1"/>
        <v>55</v>
      </c>
      <c r="K133" s="65">
        <f t="shared" si="2"/>
        <v>0.6547619048</v>
      </c>
      <c r="L133" s="66">
        <v>7100000.0</v>
      </c>
      <c r="M133" s="63"/>
      <c r="N133" s="63"/>
      <c r="O133" s="58">
        <v>65.0</v>
      </c>
      <c r="P133" s="177" t="s">
        <v>756</v>
      </c>
      <c r="Q133" s="76"/>
      <c r="R133" s="38">
        <f t="shared" si="3"/>
        <v>10</v>
      </c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</row>
    <row r="134">
      <c r="A134" s="218">
        <v>132.0</v>
      </c>
      <c r="B134" s="175" t="s">
        <v>757</v>
      </c>
      <c r="C134" s="61" t="s">
        <v>712</v>
      </c>
      <c r="D134" s="61">
        <v>41.0</v>
      </c>
      <c r="E134" s="58" t="s">
        <v>165</v>
      </c>
      <c r="F134" s="58" t="s">
        <v>235</v>
      </c>
      <c r="G134" s="58">
        <v>84.0</v>
      </c>
      <c r="H134" s="58">
        <v>30.0</v>
      </c>
      <c r="I134" s="58">
        <v>25.0</v>
      </c>
      <c r="J134" s="58">
        <f t="shared" si="1"/>
        <v>55</v>
      </c>
      <c r="K134" s="65">
        <f t="shared" si="2"/>
        <v>0.6547619048</v>
      </c>
      <c r="L134" s="66">
        <v>4250000.0</v>
      </c>
      <c r="M134" s="63"/>
      <c r="N134" s="63"/>
      <c r="O134" s="58">
        <v>65.0</v>
      </c>
      <c r="P134" s="177" t="s">
        <v>758</v>
      </c>
      <c r="Q134" s="38"/>
      <c r="R134" s="38">
        <f t="shared" si="3"/>
        <v>10</v>
      </c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>
      <c r="A135" s="218">
        <v>133.0</v>
      </c>
      <c r="B135" s="175" t="s">
        <v>759</v>
      </c>
      <c r="C135" s="61" t="s">
        <v>712</v>
      </c>
      <c r="D135" s="61">
        <v>23.0</v>
      </c>
      <c r="E135" s="58" t="s">
        <v>59</v>
      </c>
      <c r="F135" s="58" t="s">
        <v>269</v>
      </c>
      <c r="G135" s="58">
        <v>84.0</v>
      </c>
      <c r="H135" s="58">
        <v>21.0</v>
      </c>
      <c r="I135" s="58">
        <v>34.0</v>
      </c>
      <c r="J135" s="58">
        <f t="shared" si="1"/>
        <v>55</v>
      </c>
      <c r="K135" s="65">
        <f t="shared" si="2"/>
        <v>0.6547619048</v>
      </c>
      <c r="L135" s="66">
        <v>7142857.0</v>
      </c>
      <c r="M135" s="63"/>
      <c r="N135" s="63"/>
      <c r="O135" s="58">
        <v>65.0</v>
      </c>
      <c r="P135" s="177" t="s">
        <v>760</v>
      </c>
      <c r="Q135" s="76"/>
      <c r="R135" s="38">
        <f t="shared" si="3"/>
        <v>10</v>
      </c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>
      <c r="A136" s="218">
        <v>134.0</v>
      </c>
      <c r="B136" s="175" t="s">
        <v>761</v>
      </c>
      <c r="C136" s="61" t="s">
        <v>712</v>
      </c>
      <c r="D136" s="61">
        <v>28.0</v>
      </c>
      <c r="E136" s="58" t="s">
        <v>123</v>
      </c>
      <c r="F136" s="58" t="s">
        <v>235</v>
      </c>
      <c r="G136" s="58">
        <v>84.0</v>
      </c>
      <c r="H136" s="58">
        <v>26.0</v>
      </c>
      <c r="I136" s="58">
        <v>29.0</v>
      </c>
      <c r="J136" s="58">
        <f t="shared" si="1"/>
        <v>55</v>
      </c>
      <c r="K136" s="65">
        <f t="shared" si="2"/>
        <v>0.6547619048</v>
      </c>
      <c r="L136" s="66">
        <v>8125000.0</v>
      </c>
      <c r="M136" s="63"/>
      <c r="N136" s="58" t="s">
        <v>77</v>
      </c>
      <c r="O136" s="58">
        <v>70.0</v>
      </c>
      <c r="P136" s="177" t="s">
        <v>762</v>
      </c>
      <c r="Q136" s="38"/>
      <c r="R136" s="38">
        <f t="shared" si="3"/>
        <v>15</v>
      </c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</row>
    <row r="137">
      <c r="A137" s="218">
        <v>135.0</v>
      </c>
      <c r="B137" s="221" t="s">
        <v>763</v>
      </c>
      <c r="C137" s="209" t="s">
        <v>712</v>
      </c>
      <c r="D137" s="209">
        <v>36.0</v>
      </c>
      <c r="E137" s="210" t="s">
        <v>123</v>
      </c>
      <c r="F137" s="210" t="s">
        <v>269</v>
      </c>
      <c r="G137" s="210">
        <v>80.0</v>
      </c>
      <c r="H137" s="210">
        <v>24.0</v>
      </c>
      <c r="I137" s="210">
        <v>28.0</v>
      </c>
      <c r="J137" s="210">
        <f t="shared" si="1"/>
        <v>52</v>
      </c>
      <c r="K137" s="211">
        <f t="shared" si="2"/>
        <v>0.65</v>
      </c>
      <c r="L137" s="212">
        <v>5500000.0</v>
      </c>
      <c r="M137" s="214"/>
      <c r="N137" s="214"/>
      <c r="O137" s="210">
        <v>60.0</v>
      </c>
      <c r="P137" s="222" t="s">
        <v>764</v>
      </c>
      <c r="Q137" s="76"/>
      <c r="R137" s="38">
        <f t="shared" si="3"/>
        <v>8</v>
      </c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</row>
    <row r="138">
      <c r="A138" s="218">
        <v>136.0</v>
      </c>
      <c r="B138" s="216" t="s">
        <v>765</v>
      </c>
      <c r="C138" s="170" t="s">
        <v>766</v>
      </c>
      <c r="D138" s="170">
        <v>24.0</v>
      </c>
      <c r="E138" s="169" t="s">
        <v>333</v>
      </c>
      <c r="F138" s="217" t="s">
        <v>98</v>
      </c>
      <c r="G138" s="170">
        <v>84.0</v>
      </c>
      <c r="H138" s="170">
        <v>25.0</v>
      </c>
      <c r="I138" s="170">
        <v>28.0</v>
      </c>
      <c r="J138" s="170">
        <f t="shared" si="1"/>
        <v>53</v>
      </c>
      <c r="K138" s="171">
        <f t="shared" si="2"/>
        <v>0.630952381</v>
      </c>
      <c r="L138" s="172">
        <v>6950000.0</v>
      </c>
      <c r="M138" s="223"/>
      <c r="N138" s="223"/>
      <c r="O138" s="169">
        <v>60.0</v>
      </c>
      <c r="P138" s="174" t="s">
        <v>767</v>
      </c>
      <c r="Q138" s="38"/>
      <c r="R138" s="70">
        <f t="shared" si="3"/>
        <v>7</v>
      </c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</row>
    <row r="139">
      <c r="A139" s="218">
        <v>137.0</v>
      </c>
      <c r="B139" s="175" t="s">
        <v>768</v>
      </c>
      <c r="C139" s="61" t="s">
        <v>766</v>
      </c>
      <c r="D139" s="61">
        <v>25.0</v>
      </c>
      <c r="E139" s="58" t="s">
        <v>59</v>
      </c>
      <c r="F139" s="58" t="s">
        <v>122</v>
      </c>
      <c r="G139" s="58">
        <v>72.0</v>
      </c>
      <c r="H139" s="58">
        <v>22.0</v>
      </c>
      <c r="I139" s="58">
        <v>23.0</v>
      </c>
      <c r="J139" s="58">
        <f t="shared" si="1"/>
        <v>45</v>
      </c>
      <c r="K139" s="65">
        <f t="shared" si="2"/>
        <v>0.625</v>
      </c>
      <c r="L139" s="66">
        <v>7500000.0</v>
      </c>
      <c r="M139" s="63"/>
      <c r="N139" s="63"/>
      <c r="O139" s="58">
        <v>55.0</v>
      </c>
      <c r="P139" s="177" t="s">
        <v>769</v>
      </c>
      <c r="Q139" s="76"/>
      <c r="R139" s="38">
        <f t="shared" si="3"/>
        <v>10</v>
      </c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</row>
    <row r="140">
      <c r="A140" s="218">
        <v>138.0</v>
      </c>
      <c r="B140" s="175" t="s">
        <v>770</v>
      </c>
      <c r="C140" s="61" t="s">
        <v>766</v>
      </c>
      <c r="D140" s="61">
        <v>18.0</v>
      </c>
      <c r="E140" s="58" t="s">
        <v>418</v>
      </c>
      <c r="F140" s="58" t="s">
        <v>157</v>
      </c>
      <c r="G140" s="58">
        <v>80.0</v>
      </c>
      <c r="H140" s="58">
        <v>20.0</v>
      </c>
      <c r="I140" s="58">
        <v>30.0</v>
      </c>
      <c r="J140" s="58">
        <f t="shared" si="1"/>
        <v>50</v>
      </c>
      <c r="K140" s="65">
        <f t="shared" si="2"/>
        <v>0.625</v>
      </c>
      <c r="L140" s="66" t="s">
        <v>283</v>
      </c>
      <c r="M140" s="63"/>
      <c r="N140" s="63"/>
      <c r="O140" s="58">
        <v>70.0</v>
      </c>
      <c r="P140" s="177" t="s">
        <v>771</v>
      </c>
      <c r="Q140" s="38"/>
      <c r="R140" s="38">
        <f t="shared" si="3"/>
        <v>20</v>
      </c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</row>
    <row r="141">
      <c r="A141" s="218">
        <v>139.0</v>
      </c>
      <c r="B141" s="175" t="s">
        <v>772</v>
      </c>
      <c r="C141" s="61" t="s">
        <v>766</v>
      </c>
      <c r="D141" s="61">
        <v>27.0</v>
      </c>
      <c r="E141" s="58" t="s">
        <v>404</v>
      </c>
      <c r="F141" s="58" t="s">
        <v>185</v>
      </c>
      <c r="G141" s="58">
        <v>80.0</v>
      </c>
      <c r="H141" s="58">
        <v>27.0</v>
      </c>
      <c r="I141" s="58">
        <v>23.0</v>
      </c>
      <c r="J141" s="58">
        <f t="shared" si="1"/>
        <v>50</v>
      </c>
      <c r="K141" s="65">
        <f t="shared" si="2"/>
        <v>0.625</v>
      </c>
      <c r="L141" s="66">
        <v>6200000.0</v>
      </c>
      <c r="M141" s="63"/>
      <c r="N141" s="63"/>
      <c r="O141" s="58">
        <v>60.0</v>
      </c>
      <c r="P141" s="177" t="s">
        <v>773</v>
      </c>
      <c r="Q141" s="38"/>
      <c r="R141" s="38">
        <f t="shared" si="3"/>
        <v>10</v>
      </c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</row>
    <row r="142">
      <c r="A142" s="218">
        <v>140.0</v>
      </c>
      <c r="B142" s="175" t="s">
        <v>774</v>
      </c>
      <c r="C142" s="61" t="s">
        <v>766</v>
      </c>
      <c r="D142" s="61">
        <v>29.0</v>
      </c>
      <c r="E142" s="58" t="s">
        <v>165</v>
      </c>
      <c r="F142" s="58" t="s">
        <v>153</v>
      </c>
      <c r="G142" s="58">
        <v>80.0</v>
      </c>
      <c r="H142" s="58">
        <v>25.0</v>
      </c>
      <c r="I142" s="58">
        <v>25.0</v>
      </c>
      <c r="J142" s="58">
        <f t="shared" si="1"/>
        <v>50</v>
      </c>
      <c r="K142" s="65">
        <f t="shared" si="2"/>
        <v>0.625</v>
      </c>
      <c r="L142" s="66">
        <v>8800000.0</v>
      </c>
      <c r="M142" s="63"/>
      <c r="N142" s="58" t="s">
        <v>77</v>
      </c>
      <c r="O142" s="58">
        <v>60.0</v>
      </c>
      <c r="P142" s="177" t="s">
        <v>775</v>
      </c>
      <c r="Q142" s="38"/>
      <c r="R142" s="38">
        <f t="shared" si="3"/>
        <v>10</v>
      </c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</row>
    <row r="143">
      <c r="A143" s="218">
        <v>141.0</v>
      </c>
      <c r="B143" s="219" t="s">
        <v>776</v>
      </c>
      <c r="C143" s="61" t="s">
        <v>766</v>
      </c>
      <c r="D143" s="61">
        <v>31.0</v>
      </c>
      <c r="E143" s="58" t="s">
        <v>333</v>
      </c>
      <c r="F143" s="59" t="s">
        <v>225</v>
      </c>
      <c r="G143" s="61">
        <v>84.0</v>
      </c>
      <c r="H143" s="61">
        <v>27.0</v>
      </c>
      <c r="I143" s="61">
        <v>25.0</v>
      </c>
      <c r="J143" s="61">
        <f t="shared" si="1"/>
        <v>52</v>
      </c>
      <c r="K143" s="65">
        <f t="shared" si="2"/>
        <v>0.619047619</v>
      </c>
      <c r="L143" s="66">
        <v>5500000.0</v>
      </c>
      <c r="M143" s="178"/>
      <c r="N143" s="63"/>
      <c r="O143" s="58">
        <v>60.0</v>
      </c>
      <c r="P143" s="177" t="s">
        <v>777</v>
      </c>
      <c r="Q143" s="76"/>
      <c r="R143" s="70">
        <f t="shared" si="3"/>
        <v>8</v>
      </c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</row>
    <row r="144">
      <c r="A144" s="218">
        <v>142.0</v>
      </c>
      <c r="B144" s="219" t="s">
        <v>778</v>
      </c>
      <c r="C144" s="61" t="s">
        <v>766</v>
      </c>
      <c r="D144" s="61">
        <v>23.0</v>
      </c>
      <c r="E144" s="63" t="s">
        <v>59</v>
      </c>
      <c r="F144" s="59" t="s">
        <v>155</v>
      </c>
      <c r="G144" s="61">
        <v>84.0</v>
      </c>
      <c r="H144" s="61">
        <v>23.0</v>
      </c>
      <c r="I144" s="61">
        <v>29.0</v>
      </c>
      <c r="J144" s="61">
        <f t="shared" si="1"/>
        <v>52</v>
      </c>
      <c r="K144" s="65">
        <f t="shared" si="2"/>
        <v>0.619047619</v>
      </c>
      <c r="L144" s="66">
        <v>6000000.0</v>
      </c>
      <c r="M144" s="178"/>
      <c r="N144" s="63"/>
      <c r="O144" s="58">
        <v>60.0</v>
      </c>
      <c r="P144" s="177" t="s">
        <v>780</v>
      </c>
      <c r="Q144" s="38"/>
      <c r="R144" s="70">
        <f t="shared" si="3"/>
        <v>8</v>
      </c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</row>
    <row r="145">
      <c r="A145" s="218">
        <v>143.0</v>
      </c>
      <c r="B145" s="219" t="s">
        <v>783</v>
      </c>
      <c r="C145" s="61" t="s">
        <v>766</v>
      </c>
      <c r="D145" s="61">
        <v>34.0</v>
      </c>
      <c r="E145" s="63" t="s">
        <v>59</v>
      </c>
      <c r="F145" s="59" t="s">
        <v>73</v>
      </c>
      <c r="G145" s="61">
        <v>84.0</v>
      </c>
      <c r="H145" s="61">
        <v>20.0</v>
      </c>
      <c r="I145" s="61">
        <v>32.0</v>
      </c>
      <c r="J145" s="61">
        <f t="shared" si="1"/>
        <v>52</v>
      </c>
      <c r="K145" s="65">
        <f t="shared" si="2"/>
        <v>0.619047619</v>
      </c>
      <c r="L145" s="66">
        <v>6000000.0</v>
      </c>
      <c r="M145" s="178"/>
      <c r="N145" s="58" t="s">
        <v>77</v>
      </c>
      <c r="O145" s="58">
        <v>60.0</v>
      </c>
      <c r="P145" s="177" t="s">
        <v>801</v>
      </c>
      <c r="Q145" s="38"/>
      <c r="R145" s="70">
        <f t="shared" si="3"/>
        <v>8</v>
      </c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</row>
    <row r="146">
      <c r="A146" s="218">
        <v>144.0</v>
      </c>
      <c r="B146" s="219" t="s">
        <v>805</v>
      </c>
      <c r="C146" s="61" t="s">
        <v>766</v>
      </c>
      <c r="D146" s="61">
        <v>31.0</v>
      </c>
      <c r="E146" s="63" t="s">
        <v>59</v>
      </c>
      <c r="F146" s="59" t="s">
        <v>83</v>
      </c>
      <c r="G146" s="61">
        <v>76.0</v>
      </c>
      <c r="H146" s="61">
        <v>17.0</v>
      </c>
      <c r="I146" s="61">
        <v>30.0</v>
      </c>
      <c r="J146" s="61">
        <f t="shared" si="1"/>
        <v>47</v>
      </c>
      <c r="K146" s="65">
        <f t="shared" si="2"/>
        <v>0.6184210526</v>
      </c>
      <c r="L146" s="66">
        <v>7750000.0</v>
      </c>
      <c r="M146" s="63"/>
      <c r="N146" s="63"/>
      <c r="O146" s="58">
        <v>60.0</v>
      </c>
      <c r="P146" s="177" t="s">
        <v>808</v>
      </c>
      <c r="Q146" s="38"/>
      <c r="R146" s="70">
        <f t="shared" si="3"/>
        <v>13</v>
      </c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</row>
    <row r="147">
      <c r="A147" s="218">
        <v>145.0</v>
      </c>
      <c r="B147" s="219" t="s">
        <v>809</v>
      </c>
      <c r="C147" s="61" t="s">
        <v>766</v>
      </c>
      <c r="D147" s="61">
        <v>31.0</v>
      </c>
      <c r="E147" s="58" t="s">
        <v>165</v>
      </c>
      <c r="F147" s="59" t="s">
        <v>181</v>
      </c>
      <c r="G147" s="61">
        <v>78.0</v>
      </c>
      <c r="H147" s="61">
        <v>21.0</v>
      </c>
      <c r="I147" s="61">
        <v>27.0</v>
      </c>
      <c r="J147" s="61">
        <f t="shared" si="1"/>
        <v>48</v>
      </c>
      <c r="K147" s="65">
        <f t="shared" si="2"/>
        <v>0.6153846154</v>
      </c>
      <c r="L147" s="66">
        <v>7000000.0</v>
      </c>
      <c r="M147" s="178"/>
      <c r="N147" s="58" t="s">
        <v>77</v>
      </c>
      <c r="O147" s="58">
        <v>60.0</v>
      </c>
      <c r="P147" s="177" t="s">
        <v>812</v>
      </c>
      <c r="Q147" s="38"/>
      <c r="R147" s="70">
        <f t="shared" si="3"/>
        <v>12</v>
      </c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</row>
    <row r="148">
      <c r="A148" s="218">
        <v>146.0</v>
      </c>
      <c r="B148" s="175" t="s">
        <v>814</v>
      </c>
      <c r="C148" s="61" t="s">
        <v>766</v>
      </c>
      <c r="D148" s="61">
        <v>30.0</v>
      </c>
      <c r="E148" s="58" t="s">
        <v>59</v>
      </c>
      <c r="F148" s="58" t="s">
        <v>185</v>
      </c>
      <c r="G148" s="58">
        <v>80.0</v>
      </c>
      <c r="H148" s="58">
        <v>17.0</v>
      </c>
      <c r="I148" s="58">
        <v>32.0</v>
      </c>
      <c r="J148" s="58">
        <f t="shared" si="1"/>
        <v>49</v>
      </c>
      <c r="K148" s="65">
        <f t="shared" si="2"/>
        <v>0.6125</v>
      </c>
      <c r="L148" s="66">
        <v>5150000.0</v>
      </c>
      <c r="M148" s="58" t="s">
        <v>77</v>
      </c>
      <c r="N148" s="63"/>
      <c r="O148" s="58">
        <v>55.0</v>
      </c>
      <c r="P148" s="177" t="s">
        <v>818</v>
      </c>
      <c r="Q148" s="38"/>
      <c r="R148" s="38">
        <f t="shared" si="3"/>
        <v>6</v>
      </c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</row>
    <row r="149">
      <c r="A149" s="218">
        <v>147.0</v>
      </c>
      <c r="B149" s="175" t="s">
        <v>820</v>
      </c>
      <c r="C149" s="61" t="s">
        <v>766</v>
      </c>
      <c r="D149" s="61">
        <v>31.0</v>
      </c>
      <c r="E149" s="58" t="s">
        <v>600</v>
      </c>
      <c r="F149" s="58" t="s">
        <v>145</v>
      </c>
      <c r="G149" s="58">
        <v>82.0</v>
      </c>
      <c r="H149" s="58">
        <v>20.0</v>
      </c>
      <c r="I149" s="58">
        <v>30.0</v>
      </c>
      <c r="J149" s="58">
        <f t="shared" si="1"/>
        <v>50</v>
      </c>
      <c r="K149" s="65">
        <f t="shared" si="2"/>
        <v>0.6097560976</v>
      </c>
      <c r="L149" s="66">
        <v>8000000.0</v>
      </c>
      <c r="M149" s="63"/>
      <c r="N149" s="63"/>
      <c r="O149" s="58">
        <v>60.0</v>
      </c>
      <c r="P149" s="177" t="s">
        <v>823</v>
      </c>
      <c r="Q149" s="38"/>
      <c r="R149" s="38">
        <f t="shared" si="3"/>
        <v>10</v>
      </c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</row>
    <row r="150">
      <c r="A150" s="218">
        <v>148.0</v>
      </c>
      <c r="B150" s="219" t="s">
        <v>824</v>
      </c>
      <c r="C150" s="61" t="s">
        <v>766</v>
      </c>
      <c r="D150" s="61">
        <v>34.0</v>
      </c>
      <c r="E150" s="58" t="s">
        <v>404</v>
      </c>
      <c r="F150" s="59" t="s">
        <v>98</v>
      </c>
      <c r="G150" s="61">
        <v>64.0</v>
      </c>
      <c r="H150" s="61">
        <v>20.0</v>
      </c>
      <c r="I150" s="61">
        <v>19.0</v>
      </c>
      <c r="J150" s="61">
        <f t="shared" si="1"/>
        <v>39</v>
      </c>
      <c r="K150" s="65">
        <f t="shared" si="2"/>
        <v>0.609375</v>
      </c>
      <c r="L150" s="66">
        <v>4750000.0</v>
      </c>
      <c r="M150" s="58" t="s">
        <v>77</v>
      </c>
      <c r="N150" s="178"/>
      <c r="O150" s="58">
        <v>60.0</v>
      </c>
      <c r="P150" s="177" t="s">
        <v>827</v>
      </c>
      <c r="Q150" s="38"/>
      <c r="R150" s="70">
        <f t="shared" si="3"/>
        <v>21</v>
      </c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</row>
    <row r="151">
      <c r="A151" s="218">
        <v>149.0</v>
      </c>
      <c r="B151" s="175" t="s">
        <v>829</v>
      </c>
      <c r="C151" s="61" t="s">
        <v>766</v>
      </c>
      <c r="D151" s="61">
        <v>29.0</v>
      </c>
      <c r="E151" s="58" t="s">
        <v>123</v>
      </c>
      <c r="F151" s="58" t="s">
        <v>729</v>
      </c>
      <c r="G151" s="58">
        <v>76.0</v>
      </c>
      <c r="H151" s="58">
        <v>23.0</v>
      </c>
      <c r="I151" s="58">
        <v>23.0</v>
      </c>
      <c r="J151" s="58">
        <f t="shared" si="1"/>
        <v>46</v>
      </c>
      <c r="K151" s="65">
        <f t="shared" si="2"/>
        <v>0.6052631579</v>
      </c>
      <c r="L151" s="66">
        <v>7250000.0</v>
      </c>
      <c r="M151" s="63"/>
      <c r="N151" s="63"/>
      <c r="O151" s="58">
        <v>65.0</v>
      </c>
      <c r="P151" s="177" t="s">
        <v>834</v>
      </c>
      <c r="Q151" s="38"/>
      <c r="R151" s="38">
        <f t="shared" si="3"/>
        <v>19</v>
      </c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</row>
    <row r="152">
      <c r="A152" s="218">
        <v>150.0</v>
      </c>
      <c r="B152" s="219" t="s">
        <v>835</v>
      </c>
      <c r="C152" s="61" t="s">
        <v>766</v>
      </c>
      <c r="D152" s="220">
        <v>30.0</v>
      </c>
      <c r="E152" s="63" t="s">
        <v>59</v>
      </c>
      <c r="F152" s="59" t="s">
        <v>181</v>
      </c>
      <c r="G152" s="61">
        <v>76.0</v>
      </c>
      <c r="H152" s="61">
        <v>18.0</v>
      </c>
      <c r="I152" s="61">
        <v>28.0</v>
      </c>
      <c r="J152" s="61">
        <f t="shared" si="1"/>
        <v>46</v>
      </c>
      <c r="K152" s="65">
        <f t="shared" si="2"/>
        <v>0.6052631579</v>
      </c>
      <c r="L152" s="66">
        <v>8000000.0</v>
      </c>
      <c r="M152" s="178"/>
      <c r="N152" s="63"/>
      <c r="O152" s="58">
        <v>55.0</v>
      </c>
      <c r="P152" s="177" t="s">
        <v>839</v>
      </c>
      <c r="Q152" s="38"/>
      <c r="R152" s="70">
        <f t="shared" si="3"/>
        <v>9</v>
      </c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</row>
    <row r="153">
      <c r="A153" s="218">
        <v>151.0</v>
      </c>
      <c r="B153" s="219" t="s">
        <v>842</v>
      </c>
      <c r="C153" s="61" t="s">
        <v>766</v>
      </c>
      <c r="D153" s="61">
        <v>24.0</v>
      </c>
      <c r="E153" s="58" t="s">
        <v>165</v>
      </c>
      <c r="F153" s="59" t="s">
        <v>155</v>
      </c>
      <c r="G153" s="61">
        <v>70.0</v>
      </c>
      <c r="H153" s="61">
        <v>16.0</v>
      </c>
      <c r="I153" s="61">
        <v>26.0</v>
      </c>
      <c r="J153" s="61">
        <f t="shared" si="1"/>
        <v>42</v>
      </c>
      <c r="K153" s="65">
        <f t="shared" si="2"/>
        <v>0.6</v>
      </c>
      <c r="L153" s="66">
        <v>3166667.0</v>
      </c>
      <c r="M153" s="58" t="s">
        <v>77</v>
      </c>
      <c r="N153" s="63"/>
      <c r="O153" s="58">
        <v>60.0</v>
      </c>
      <c r="P153" s="177" t="s">
        <v>846</v>
      </c>
      <c r="Q153" s="38"/>
      <c r="R153" s="70">
        <f t="shared" si="3"/>
        <v>18</v>
      </c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</row>
    <row r="154">
      <c r="A154" s="218">
        <v>152.0</v>
      </c>
      <c r="B154" s="219" t="s">
        <v>847</v>
      </c>
      <c r="C154" s="61" t="s">
        <v>766</v>
      </c>
      <c r="D154" s="61">
        <v>31.0</v>
      </c>
      <c r="E154" s="63" t="s">
        <v>59</v>
      </c>
      <c r="F154" s="59" t="s">
        <v>73</v>
      </c>
      <c r="G154" s="61">
        <v>70.0</v>
      </c>
      <c r="H154" s="61">
        <v>16.0</v>
      </c>
      <c r="I154" s="61">
        <v>26.0</v>
      </c>
      <c r="J154" s="61">
        <f t="shared" si="1"/>
        <v>42</v>
      </c>
      <c r="K154" s="65">
        <f t="shared" si="2"/>
        <v>0.6</v>
      </c>
      <c r="L154" s="66">
        <v>5500000.0</v>
      </c>
      <c r="M154" s="58" t="s">
        <v>77</v>
      </c>
      <c r="N154" s="58" t="s">
        <v>77</v>
      </c>
      <c r="O154" s="58">
        <v>55.0</v>
      </c>
      <c r="P154" s="177" t="s">
        <v>852</v>
      </c>
      <c r="Q154" s="38"/>
      <c r="R154" s="70">
        <f t="shared" si="3"/>
        <v>13</v>
      </c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</row>
    <row r="155">
      <c r="A155" s="218">
        <v>153.0</v>
      </c>
      <c r="B155" s="175" t="s">
        <v>855</v>
      </c>
      <c r="C155" s="61" t="s">
        <v>766</v>
      </c>
      <c r="D155" s="61">
        <v>32.0</v>
      </c>
      <c r="E155" s="58" t="s">
        <v>59</v>
      </c>
      <c r="F155" s="58" t="s">
        <v>269</v>
      </c>
      <c r="G155" s="58">
        <v>82.0</v>
      </c>
      <c r="H155" s="58">
        <v>16.0</v>
      </c>
      <c r="I155" s="58">
        <v>33.0</v>
      </c>
      <c r="J155" s="58">
        <f t="shared" si="1"/>
        <v>49</v>
      </c>
      <c r="K155" s="65">
        <f t="shared" si="2"/>
        <v>0.5975609756</v>
      </c>
      <c r="L155" s="66">
        <v>6250000.0</v>
      </c>
      <c r="M155" s="63"/>
      <c r="N155" s="63"/>
      <c r="O155" s="58">
        <v>60.0</v>
      </c>
      <c r="P155" s="177" t="s">
        <v>857</v>
      </c>
      <c r="Q155" s="38"/>
      <c r="R155" s="38">
        <f t="shared" si="3"/>
        <v>11</v>
      </c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</row>
    <row r="156">
      <c r="A156" s="218">
        <v>154.0</v>
      </c>
      <c r="B156" s="219" t="s">
        <v>860</v>
      </c>
      <c r="C156" s="61" t="s">
        <v>766</v>
      </c>
      <c r="D156" s="220">
        <v>33.0</v>
      </c>
      <c r="E156" s="58" t="s">
        <v>165</v>
      </c>
      <c r="F156" s="59" t="s">
        <v>262</v>
      </c>
      <c r="G156" s="61">
        <v>84.0</v>
      </c>
      <c r="H156" s="61">
        <v>18.0</v>
      </c>
      <c r="I156" s="61">
        <v>32.0</v>
      </c>
      <c r="J156" s="61">
        <f t="shared" si="1"/>
        <v>50</v>
      </c>
      <c r="K156" s="65">
        <f t="shared" si="2"/>
        <v>0.5952380952</v>
      </c>
      <c r="L156" s="66">
        <v>1.05E7</v>
      </c>
      <c r="M156" s="63"/>
      <c r="N156" s="63"/>
      <c r="O156" s="58">
        <v>60.0</v>
      </c>
      <c r="P156" s="177" t="s">
        <v>863</v>
      </c>
      <c r="Q156" s="38"/>
      <c r="R156" s="70">
        <f t="shared" si="3"/>
        <v>10</v>
      </c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</row>
    <row r="157">
      <c r="A157" s="218">
        <v>155.0</v>
      </c>
      <c r="B157" s="175" t="s">
        <v>865</v>
      </c>
      <c r="C157" s="61" t="s">
        <v>766</v>
      </c>
      <c r="D157" s="61">
        <v>21.0</v>
      </c>
      <c r="E157" s="58" t="s">
        <v>333</v>
      </c>
      <c r="F157" s="58" t="s">
        <v>65</v>
      </c>
      <c r="G157" s="58">
        <v>80.0</v>
      </c>
      <c r="H157" s="58">
        <v>20.0</v>
      </c>
      <c r="I157" s="58">
        <v>27.0</v>
      </c>
      <c r="J157" s="58">
        <f t="shared" si="1"/>
        <v>47</v>
      </c>
      <c r="K157" s="65">
        <f t="shared" si="2"/>
        <v>0.5875</v>
      </c>
      <c r="L157" s="66">
        <v>940833.0</v>
      </c>
      <c r="M157" s="63"/>
      <c r="N157" s="63"/>
      <c r="O157" s="58">
        <v>60.0</v>
      </c>
      <c r="P157" s="177" t="s">
        <v>869</v>
      </c>
      <c r="Q157" s="76"/>
      <c r="R157" s="38">
        <f t="shared" si="3"/>
        <v>13</v>
      </c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</row>
    <row r="158">
      <c r="A158" s="218">
        <v>156.0</v>
      </c>
      <c r="B158" s="219" t="s">
        <v>870</v>
      </c>
      <c r="C158" s="61" t="s">
        <v>766</v>
      </c>
      <c r="D158" s="61">
        <v>26.0</v>
      </c>
      <c r="E158" s="63" t="s">
        <v>59</v>
      </c>
      <c r="F158" s="59" t="s">
        <v>98</v>
      </c>
      <c r="G158" s="61">
        <v>80.0</v>
      </c>
      <c r="H158" s="61">
        <v>14.0</v>
      </c>
      <c r="I158" s="61">
        <v>33.0</v>
      </c>
      <c r="J158" s="61">
        <f t="shared" si="1"/>
        <v>47</v>
      </c>
      <c r="K158" s="65">
        <f t="shared" si="2"/>
        <v>0.5875</v>
      </c>
      <c r="L158" s="66">
        <v>5000000.0</v>
      </c>
      <c r="M158" s="178"/>
      <c r="N158" s="58" t="s">
        <v>77</v>
      </c>
      <c r="O158" s="58">
        <v>60.0</v>
      </c>
      <c r="P158" s="177" t="s">
        <v>873</v>
      </c>
      <c r="Q158" s="38"/>
      <c r="R158" s="70">
        <f t="shared" si="3"/>
        <v>13</v>
      </c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</row>
    <row r="159">
      <c r="A159" s="218">
        <v>157.0</v>
      </c>
      <c r="B159" s="219" t="s">
        <v>876</v>
      </c>
      <c r="C159" s="61" t="s">
        <v>766</v>
      </c>
      <c r="D159" s="61">
        <v>20.0</v>
      </c>
      <c r="E159" s="58" t="s">
        <v>404</v>
      </c>
      <c r="F159" s="59" t="s">
        <v>262</v>
      </c>
      <c r="G159" s="61">
        <v>84.0</v>
      </c>
      <c r="H159" s="61">
        <v>16.0</v>
      </c>
      <c r="I159" s="61">
        <v>33.0</v>
      </c>
      <c r="J159" s="61">
        <f t="shared" si="1"/>
        <v>49</v>
      </c>
      <c r="K159" s="65">
        <f t="shared" si="2"/>
        <v>0.5833333333</v>
      </c>
      <c r="L159" s="66">
        <v>953750.0</v>
      </c>
      <c r="M159" s="63"/>
      <c r="N159" s="58" t="s">
        <v>77</v>
      </c>
      <c r="O159" s="58">
        <v>60.0</v>
      </c>
      <c r="P159" s="177" t="s">
        <v>879</v>
      </c>
      <c r="Q159" s="38"/>
      <c r="R159" s="70">
        <f t="shared" si="3"/>
        <v>11</v>
      </c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</row>
    <row r="160">
      <c r="A160" s="218">
        <v>158.0</v>
      </c>
      <c r="B160" s="175" t="s">
        <v>882</v>
      </c>
      <c r="C160" s="61" t="s">
        <v>766</v>
      </c>
      <c r="D160" s="61">
        <v>22.0</v>
      </c>
      <c r="E160" s="58" t="s">
        <v>333</v>
      </c>
      <c r="F160" s="59" t="s">
        <v>49</v>
      </c>
      <c r="G160" s="61">
        <v>84.0</v>
      </c>
      <c r="H160" s="61">
        <v>23.0</v>
      </c>
      <c r="I160" s="61">
        <v>26.0</v>
      </c>
      <c r="J160" s="61">
        <f t="shared" si="1"/>
        <v>49</v>
      </c>
      <c r="K160" s="65">
        <f t="shared" si="2"/>
        <v>0.5833333333</v>
      </c>
      <c r="L160" s="66">
        <v>886666.0</v>
      </c>
      <c r="M160" s="63"/>
      <c r="N160" s="63"/>
      <c r="O160" s="58">
        <v>65.0</v>
      </c>
      <c r="P160" s="177" t="s">
        <v>885</v>
      </c>
      <c r="Q160" s="38"/>
      <c r="R160" s="70">
        <f t="shared" si="3"/>
        <v>16</v>
      </c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</row>
    <row r="161">
      <c r="A161" s="218">
        <v>159.0</v>
      </c>
      <c r="B161" s="175" t="s">
        <v>887</v>
      </c>
      <c r="C161" s="61" t="s">
        <v>766</v>
      </c>
      <c r="D161" s="61">
        <v>32.0</v>
      </c>
      <c r="E161" s="58" t="s">
        <v>123</v>
      </c>
      <c r="F161" s="58" t="s">
        <v>153</v>
      </c>
      <c r="G161" s="58">
        <v>72.0</v>
      </c>
      <c r="H161" s="58">
        <v>22.0</v>
      </c>
      <c r="I161" s="58">
        <v>20.0</v>
      </c>
      <c r="J161" s="58">
        <f t="shared" si="1"/>
        <v>42</v>
      </c>
      <c r="K161" s="65">
        <f t="shared" si="2"/>
        <v>0.5833333333</v>
      </c>
      <c r="L161" s="66">
        <v>4750000.0</v>
      </c>
      <c r="M161" s="58" t="s">
        <v>77</v>
      </c>
      <c r="N161" s="58" t="s">
        <v>77</v>
      </c>
      <c r="O161" s="58">
        <v>60.0</v>
      </c>
      <c r="P161" s="177" t="s">
        <v>890</v>
      </c>
      <c r="Q161" s="38"/>
      <c r="R161" s="38">
        <f t="shared" si="3"/>
        <v>18</v>
      </c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</row>
    <row r="162">
      <c r="A162" s="218">
        <v>160.0</v>
      </c>
      <c r="B162" s="175" t="s">
        <v>891</v>
      </c>
      <c r="C162" s="61" t="s">
        <v>766</v>
      </c>
      <c r="D162" s="61">
        <v>35.0</v>
      </c>
      <c r="E162" s="58" t="s">
        <v>123</v>
      </c>
      <c r="F162" s="58" t="s">
        <v>65</v>
      </c>
      <c r="G162" s="58">
        <v>72.0</v>
      </c>
      <c r="H162" s="58">
        <v>20.0</v>
      </c>
      <c r="I162" s="58">
        <v>22.0</v>
      </c>
      <c r="J162" s="58">
        <f t="shared" si="1"/>
        <v>42</v>
      </c>
      <c r="K162" s="65">
        <f t="shared" si="2"/>
        <v>0.5833333333</v>
      </c>
      <c r="L162" s="66">
        <v>4750000.0</v>
      </c>
      <c r="M162" s="63"/>
      <c r="N162" s="58" t="s">
        <v>77</v>
      </c>
      <c r="O162" s="58">
        <v>55.0</v>
      </c>
      <c r="P162" s="177" t="s">
        <v>894</v>
      </c>
      <c r="Q162" s="76"/>
      <c r="R162" s="38">
        <f t="shared" si="3"/>
        <v>13</v>
      </c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</row>
    <row r="163">
      <c r="A163" s="218">
        <v>161.0</v>
      </c>
      <c r="B163" s="219" t="s">
        <v>804</v>
      </c>
      <c r="C163" s="61" t="s">
        <v>766</v>
      </c>
      <c r="D163" s="61">
        <v>35.0</v>
      </c>
      <c r="E163" s="58" t="s">
        <v>165</v>
      </c>
      <c r="F163" s="59" t="s">
        <v>192</v>
      </c>
      <c r="G163" s="61">
        <v>74.0</v>
      </c>
      <c r="H163" s="61">
        <v>20.0</v>
      </c>
      <c r="I163" s="61">
        <v>23.0</v>
      </c>
      <c r="J163" s="61">
        <f t="shared" si="1"/>
        <v>43</v>
      </c>
      <c r="K163" s="65">
        <f t="shared" si="2"/>
        <v>0.5810810811</v>
      </c>
      <c r="L163" s="66">
        <v>6500000.0</v>
      </c>
      <c r="M163" s="178"/>
      <c r="N163" s="63"/>
      <c r="O163" s="58">
        <v>55.0</v>
      </c>
      <c r="P163" s="177" t="s">
        <v>897</v>
      </c>
      <c r="Q163" s="76"/>
      <c r="R163" s="70">
        <f t="shared" si="3"/>
        <v>12</v>
      </c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</row>
    <row r="164">
      <c r="A164" s="218">
        <v>162.0</v>
      </c>
      <c r="B164" s="219" t="s">
        <v>898</v>
      </c>
      <c r="C164" s="61" t="s">
        <v>766</v>
      </c>
      <c r="D164" s="61">
        <v>30.0</v>
      </c>
      <c r="E164" s="58" t="s">
        <v>123</v>
      </c>
      <c r="F164" s="59" t="s">
        <v>73</v>
      </c>
      <c r="G164" s="61">
        <v>84.0</v>
      </c>
      <c r="H164" s="61">
        <v>20.0</v>
      </c>
      <c r="I164" s="61">
        <v>28.0</v>
      </c>
      <c r="J164" s="61">
        <f t="shared" si="1"/>
        <v>48</v>
      </c>
      <c r="K164" s="65">
        <f t="shared" si="2"/>
        <v>0.5714285714</v>
      </c>
      <c r="L164" s="66">
        <v>6000000.0</v>
      </c>
      <c r="M164" s="178"/>
      <c r="N164" s="178"/>
      <c r="O164" s="58">
        <v>55.0</v>
      </c>
      <c r="P164" s="177" t="s">
        <v>901</v>
      </c>
      <c r="Q164" s="38"/>
      <c r="R164" s="70">
        <f t="shared" si="3"/>
        <v>7</v>
      </c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</row>
    <row r="165">
      <c r="A165" s="218">
        <v>163.0</v>
      </c>
      <c r="B165" s="219" t="s">
        <v>904</v>
      </c>
      <c r="C165" s="61" t="s">
        <v>766</v>
      </c>
      <c r="D165" s="61">
        <v>25.0</v>
      </c>
      <c r="E165" s="58" t="s">
        <v>165</v>
      </c>
      <c r="F165" s="59" t="s">
        <v>109</v>
      </c>
      <c r="G165" s="61">
        <v>60.0</v>
      </c>
      <c r="H165" s="61">
        <v>17.0</v>
      </c>
      <c r="I165" s="61">
        <v>17.0</v>
      </c>
      <c r="J165" s="61">
        <f t="shared" si="1"/>
        <v>34</v>
      </c>
      <c r="K165" s="65">
        <f t="shared" si="2"/>
        <v>0.5666666667</v>
      </c>
      <c r="L165" s="66">
        <v>2900000.0</v>
      </c>
      <c r="M165" s="63"/>
      <c r="N165" s="58" t="s">
        <v>77</v>
      </c>
      <c r="O165" s="58">
        <v>50.0</v>
      </c>
      <c r="P165" s="177" t="s">
        <v>908</v>
      </c>
      <c r="Q165" s="38"/>
      <c r="R165" s="70">
        <f t="shared" si="3"/>
        <v>16</v>
      </c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</row>
    <row r="166">
      <c r="A166" s="218">
        <v>164.0</v>
      </c>
      <c r="B166" s="175" t="s">
        <v>910</v>
      </c>
      <c r="C166" s="61" t="s">
        <v>766</v>
      </c>
      <c r="D166" s="61">
        <v>21.0</v>
      </c>
      <c r="E166" s="58" t="s">
        <v>418</v>
      </c>
      <c r="F166" s="58" t="s">
        <v>157</v>
      </c>
      <c r="G166" s="58">
        <v>80.0</v>
      </c>
      <c r="H166" s="58">
        <v>16.0</v>
      </c>
      <c r="I166" s="58">
        <v>29.0</v>
      </c>
      <c r="J166" s="58">
        <f t="shared" si="1"/>
        <v>45</v>
      </c>
      <c r="K166" s="65">
        <f t="shared" si="2"/>
        <v>0.5625</v>
      </c>
      <c r="L166" s="66">
        <v>900000.0</v>
      </c>
      <c r="M166" s="63"/>
      <c r="N166" s="58" t="s">
        <v>77</v>
      </c>
      <c r="O166" s="58">
        <v>60.0</v>
      </c>
      <c r="P166" s="177" t="s">
        <v>913</v>
      </c>
      <c r="Q166" s="38"/>
      <c r="R166" s="38">
        <f t="shared" si="3"/>
        <v>15</v>
      </c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</row>
    <row r="167">
      <c r="A167" s="218">
        <v>165.0</v>
      </c>
      <c r="B167" s="175" t="s">
        <v>916</v>
      </c>
      <c r="C167" s="61" t="s">
        <v>766</v>
      </c>
      <c r="D167" s="61">
        <v>27.0</v>
      </c>
      <c r="E167" s="58" t="s">
        <v>59</v>
      </c>
      <c r="F167" s="58" t="s">
        <v>185</v>
      </c>
      <c r="G167" s="58">
        <v>82.0</v>
      </c>
      <c r="H167" s="58">
        <v>16.0</v>
      </c>
      <c r="I167" s="58">
        <v>30.0</v>
      </c>
      <c r="J167" s="58">
        <f t="shared" si="1"/>
        <v>46</v>
      </c>
      <c r="K167" s="65">
        <f t="shared" si="2"/>
        <v>0.5609756098</v>
      </c>
      <c r="L167" s="66">
        <v>4000000.0</v>
      </c>
      <c r="M167" s="63"/>
      <c r="N167" s="63"/>
      <c r="O167" s="58">
        <v>55.0</v>
      </c>
      <c r="P167" s="177" t="s">
        <v>917</v>
      </c>
      <c r="Q167" s="38"/>
      <c r="R167" s="38">
        <f t="shared" si="3"/>
        <v>9</v>
      </c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</row>
    <row r="168">
      <c r="A168" s="218">
        <v>166.0</v>
      </c>
      <c r="B168" s="175" t="s">
        <v>920</v>
      </c>
      <c r="C168" s="61" t="s">
        <v>766</v>
      </c>
      <c r="D168" s="61">
        <v>24.0</v>
      </c>
      <c r="E168" s="58" t="s">
        <v>404</v>
      </c>
      <c r="F168" s="58" t="s">
        <v>71</v>
      </c>
      <c r="G168" s="58">
        <v>70.0</v>
      </c>
      <c r="H168" s="58">
        <v>15.0</v>
      </c>
      <c r="I168" s="58">
        <v>24.0</v>
      </c>
      <c r="J168" s="58">
        <f t="shared" si="1"/>
        <v>39</v>
      </c>
      <c r="K168" s="65">
        <f t="shared" si="2"/>
        <v>0.5571428571</v>
      </c>
      <c r="L168" s="66">
        <v>6000000.0</v>
      </c>
      <c r="M168" s="58" t="s">
        <v>77</v>
      </c>
      <c r="N168" s="58"/>
      <c r="O168" s="58">
        <v>55.0</v>
      </c>
      <c r="P168" s="177" t="s">
        <v>923</v>
      </c>
      <c r="Q168" s="38"/>
      <c r="R168" s="38">
        <f t="shared" si="3"/>
        <v>16</v>
      </c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</row>
    <row r="169">
      <c r="A169" s="218">
        <v>167.0</v>
      </c>
      <c r="B169" s="219" t="s">
        <v>926</v>
      </c>
      <c r="C169" s="61" t="s">
        <v>766</v>
      </c>
      <c r="D169" s="61">
        <v>25.0</v>
      </c>
      <c r="E169" s="63" t="s">
        <v>59</v>
      </c>
      <c r="F169" s="59" t="s">
        <v>181</v>
      </c>
      <c r="G169" s="61">
        <v>76.0</v>
      </c>
      <c r="H169" s="61">
        <v>16.0</v>
      </c>
      <c r="I169" s="61">
        <v>26.0</v>
      </c>
      <c r="J169" s="61">
        <f t="shared" si="1"/>
        <v>42</v>
      </c>
      <c r="K169" s="65">
        <f t="shared" si="2"/>
        <v>0.5526315789</v>
      </c>
      <c r="L169" s="66">
        <v>5000000.0</v>
      </c>
      <c r="M169" s="178"/>
      <c r="N169" s="63"/>
      <c r="O169" s="58">
        <v>60.0</v>
      </c>
      <c r="P169" s="177" t="s">
        <v>929</v>
      </c>
      <c r="Q169" s="38"/>
      <c r="R169" s="70">
        <f t="shared" si="3"/>
        <v>18</v>
      </c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</row>
    <row r="170">
      <c r="A170" s="218">
        <v>168.0</v>
      </c>
      <c r="B170" s="175" t="s">
        <v>931</v>
      </c>
      <c r="C170" s="61" t="s">
        <v>766</v>
      </c>
      <c r="D170" s="61">
        <v>24.0</v>
      </c>
      <c r="E170" s="58" t="s">
        <v>165</v>
      </c>
      <c r="F170" s="58" t="s">
        <v>185</v>
      </c>
      <c r="G170" s="58">
        <v>82.0</v>
      </c>
      <c r="H170" s="58">
        <v>26.0</v>
      </c>
      <c r="I170" s="58">
        <v>19.0</v>
      </c>
      <c r="J170" s="58">
        <f t="shared" si="1"/>
        <v>45</v>
      </c>
      <c r="K170" s="65">
        <f t="shared" si="2"/>
        <v>0.5487804878</v>
      </c>
      <c r="L170" s="66">
        <v>7100000.0</v>
      </c>
      <c r="M170" s="63"/>
      <c r="N170" s="63"/>
      <c r="O170" s="58">
        <v>55.0</v>
      </c>
      <c r="P170" s="177" t="s">
        <v>933</v>
      </c>
      <c r="Q170" s="38"/>
      <c r="R170" s="38">
        <f t="shared" si="3"/>
        <v>10</v>
      </c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</row>
    <row r="171">
      <c r="A171" s="218">
        <v>169.0</v>
      </c>
      <c r="B171" s="175" t="s">
        <v>936</v>
      </c>
      <c r="C171" s="61" t="s">
        <v>766</v>
      </c>
      <c r="D171" s="61">
        <v>30.0</v>
      </c>
      <c r="E171" s="58" t="s">
        <v>404</v>
      </c>
      <c r="F171" s="58" t="s">
        <v>729</v>
      </c>
      <c r="G171" s="58">
        <v>84.0</v>
      </c>
      <c r="H171" s="58">
        <v>25.0</v>
      </c>
      <c r="I171" s="58">
        <v>21.0</v>
      </c>
      <c r="J171" s="58">
        <f t="shared" si="1"/>
        <v>46</v>
      </c>
      <c r="K171" s="65">
        <f t="shared" si="2"/>
        <v>0.5476190476</v>
      </c>
      <c r="L171" s="66">
        <v>5500000.0</v>
      </c>
      <c r="M171" s="63"/>
      <c r="N171" s="63"/>
      <c r="O171" s="58">
        <v>55.0</v>
      </c>
      <c r="P171" s="177" t="s">
        <v>937</v>
      </c>
      <c r="Q171" s="76"/>
      <c r="R171" s="38">
        <f t="shared" si="3"/>
        <v>9</v>
      </c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</row>
    <row r="172">
      <c r="A172" s="218">
        <v>170.0</v>
      </c>
      <c r="B172" s="230" t="s">
        <v>940</v>
      </c>
      <c r="C172" s="190" t="s">
        <v>766</v>
      </c>
      <c r="D172" s="190">
        <v>33.0</v>
      </c>
      <c r="E172" s="194" t="s">
        <v>59</v>
      </c>
      <c r="F172" s="231" t="s">
        <v>262</v>
      </c>
      <c r="G172" s="190">
        <v>84.0</v>
      </c>
      <c r="H172" s="190">
        <v>14.0</v>
      </c>
      <c r="I172" s="190">
        <v>32.0</v>
      </c>
      <c r="J172" s="190">
        <f t="shared" si="1"/>
        <v>46</v>
      </c>
      <c r="K172" s="192">
        <f t="shared" si="2"/>
        <v>0.5476190476</v>
      </c>
      <c r="L172" s="193">
        <v>5000000.0</v>
      </c>
      <c r="M172" s="194"/>
      <c r="N172" s="194"/>
      <c r="O172" s="191">
        <v>55.0</v>
      </c>
      <c r="P172" s="195" t="s">
        <v>945</v>
      </c>
      <c r="Q172" s="38"/>
      <c r="R172" s="70">
        <f t="shared" si="3"/>
        <v>9</v>
      </c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</row>
    <row r="173">
      <c r="A173" s="218">
        <v>171.0</v>
      </c>
      <c r="B173" s="232" t="s">
        <v>948</v>
      </c>
      <c r="C173" s="198" t="s">
        <v>950</v>
      </c>
      <c r="D173" s="198">
        <v>25.0</v>
      </c>
      <c r="E173" s="196" t="s">
        <v>333</v>
      </c>
      <c r="F173" s="196" t="s">
        <v>65</v>
      </c>
      <c r="G173" s="196">
        <v>80.0</v>
      </c>
      <c r="H173" s="196">
        <v>20.0</v>
      </c>
      <c r="I173" s="196">
        <v>23.0</v>
      </c>
      <c r="J173" s="196">
        <f t="shared" si="1"/>
        <v>43</v>
      </c>
      <c r="K173" s="200">
        <f t="shared" si="2"/>
        <v>0.5375</v>
      </c>
      <c r="L173" s="201">
        <v>3625000.0</v>
      </c>
      <c r="M173" s="202"/>
      <c r="N173" s="196" t="s">
        <v>77</v>
      </c>
      <c r="O173" s="196">
        <v>50.0</v>
      </c>
      <c r="P173" s="233" t="s">
        <v>953</v>
      </c>
      <c r="Q173" s="76"/>
      <c r="R173" s="38">
        <f t="shared" si="3"/>
        <v>7</v>
      </c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</row>
    <row r="174">
      <c r="A174" s="218">
        <v>172.0</v>
      </c>
      <c r="B174" s="234" t="s">
        <v>955</v>
      </c>
      <c r="C174" s="61" t="s">
        <v>950</v>
      </c>
      <c r="D174" s="61">
        <v>34.0</v>
      </c>
      <c r="E174" s="58" t="s">
        <v>123</v>
      </c>
      <c r="F174" s="58" t="s">
        <v>96</v>
      </c>
      <c r="G174" s="58">
        <v>80.0</v>
      </c>
      <c r="H174" s="58">
        <v>16.0</v>
      </c>
      <c r="I174" s="58">
        <v>27.0</v>
      </c>
      <c r="J174" s="58">
        <f t="shared" si="1"/>
        <v>43</v>
      </c>
      <c r="K174" s="65">
        <f t="shared" si="2"/>
        <v>0.5375</v>
      </c>
      <c r="L174" s="66">
        <v>6000000.0</v>
      </c>
      <c r="M174" s="63"/>
      <c r="N174" s="63"/>
      <c r="O174" s="58">
        <v>55.0</v>
      </c>
      <c r="P174" s="177" t="s">
        <v>959</v>
      </c>
      <c r="Q174" s="38"/>
      <c r="R174" s="38">
        <f t="shared" si="3"/>
        <v>12</v>
      </c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</row>
    <row r="175">
      <c r="A175" s="218">
        <v>173.0</v>
      </c>
      <c r="B175" s="235" t="s">
        <v>960</v>
      </c>
      <c r="C175" s="61" t="s">
        <v>950</v>
      </c>
      <c r="D175" s="61">
        <v>23.0</v>
      </c>
      <c r="E175" s="58" t="s">
        <v>123</v>
      </c>
      <c r="F175" s="59" t="s">
        <v>73</v>
      </c>
      <c r="G175" s="61">
        <v>72.0</v>
      </c>
      <c r="H175" s="61">
        <v>14.0</v>
      </c>
      <c r="I175" s="61">
        <v>24.0</v>
      </c>
      <c r="J175" s="61">
        <f t="shared" si="1"/>
        <v>38</v>
      </c>
      <c r="K175" s="65">
        <f t="shared" si="2"/>
        <v>0.5277777778</v>
      </c>
      <c r="L175" s="66">
        <v>1800000.0</v>
      </c>
      <c r="M175" s="58" t="s">
        <v>77</v>
      </c>
      <c r="N175" s="58" t="s">
        <v>77</v>
      </c>
      <c r="O175" s="58">
        <v>60.0</v>
      </c>
      <c r="P175" s="177" t="s">
        <v>965</v>
      </c>
      <c r="Q175" s="38"/>
      <c r="R175" s="70">
        <f t="shared" si="3"/>
        <v>22</v>
      </c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</row>
    <row r="176">
      <c r="A176" s="218">
        <v>174.0</v>
      </c>
      <c r="B176" s="175" t="s">
        <v>968</v>
      </c>
      <c r="C176" s="61" t="s">
        <v>950</v>
      </c>
      <c r="D176" s="61">
        <v>25.0</v>
      </c>
      <c r="E176" s="58" t="s">
        <v>165</v>
      </c>
      <c r="F176" s="58" t="s">
        <v>65</v>
      </c>
      <c r="G176" s="58">
        <v>72.0</v>
      </c>
      <c r="H176" s="58">
        <v>13.0</v>
      </c>
      <c r="I176" s="58">
        <v>25.0</v>
      </c>
      <c r="J176" s="58">
        <f t="shared" si="1"/>
        <v>38</v>
      </c>
      <c r="K176" s="65">
        <f t="shared" si="2"/>
        <v>0.5277777778</v>
      </c>
      <c r="L176" s="66">
        <v>2250000.0</v>
      </c>
      <c r="M176" s="63"/>
      <c r="N176" s="58" t="s">
        <v>77</v>
      </c>
      <c r="O176" s="58">
        <v>55.0</v>
      </c>
      <c r="P176" s="177" t="s">
        <v>972</v>
      </c>
      <c r="Q176" s="38"/>
      <c r="R176" s="38">
        <f t="shared" si="3"/>
        <v>17</v>
      </c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</row>
    <row r="177">
      <c r="A177" s="218">
        <v>175.0</v>
      </c>
      <c r="B177" s="219" t="s">
        <v>975</v>
      </c>
      <c r="C177" s="61" t="s">
        <v>950</v>
      </c>
      <c r="D177" s="61">
        <v>31.0</v>
      </c>
      <c r="E177" s="58" t="s">
        <v>386</v>
      </c>
      <c r="F177" s="59" t="s">
        <v>54</v>
      </c>
      <c r="G177" s="61">
        <v>74.0</v>
      </c>
      <c r="H177" s="61">
        <v>19.0</v>
      </c>
      <c r="I177" s="61">
        <v>20.0</v>
      </c>
      <c r="J177" s="61">
        <f t="shared" si="1"/>
        <v>39</v>
      </c>
      <c r="K177" s="65">
        <f t="shared" si="2"/>
        <v>0.527027027</v>
      </c>
      <c r="L177" s="66">
        <v>4000000.0</v>
      </c>
      <c r="M177" s="58" t="s">
        <v>77</v>
      </c>
      <c r="N177" s="178"/>
      <c r="O177" s="58">
        <v>50.0</v>
      </c>
      <c r="P177" s="177" t="s">
        <v>978</v>
      </c>
      <c r="Q177" s="38"/>
      <c r="R177" s="70">
        <f t="shared" si="3"/>
        <v>11</v>
      </c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</row>
    <row r="178">
      <c r="A178" s="218">
        <v>176.0</v>
      </c>
      <c r="B178" s="219" t="s">
        <v>980</v>
      </c>
      <c r="C178" s="61" t="s">
        <v>950</v>
      </c>
      <c r="D178" s="61">
        <v>32.0</v>
      </c>
      <c r="E178" s="63" t="s">
        <v>59</v>
      </c>
      <c r="F178" s="59" t="s">
        <v>114</v>
      </c>
      <c r="G178" s="61">
        <v>80.0</v>
      </c>
      <c r="H178" s="61">
        <v>12.0</v>
      </c>
      <c r="I178" s="61">
        <v>30.0</v>
      </c>
      <c r="J178" s="61">
        <f t="shared" si="1"/>
        <v>42</v>
      </c>
      <c r="K178" s="65">
        <f t="shared" si="2"/>
        <v>0.525</v>
      </c>
      <c r="L178" s="66">
        <v>5625000.0</v>
      </c>
      <c r="M178" s="178"/>
      <c r="N178" s="63"/>
      <c r="O178" s="58">
        <v>50.0</v>
      </c>
      <c r="P178" s="177" t="s">
        <v>982</v>
      </c>
      <c r="Q178" s="76"/>
      <c r="R178" s="70">
        <f t="shared" si="3"/>
        <v>8</v>
      </c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</row>
    <row r="179">
      <c r="A179" s="218">
        <v>177.0</v>
      </c>
      <c r="B179" s="175" t="s">
        <v>983</v>
      </c>
      <c r="C179" s="61" t="s">
        <v>950</v>
      </c>
      <c r="D179" s="61">
        <v>29.0</v>
      </c>
      <c r="E179" s="58" t="s">
        <v>123</v>
      </c>
      <c r="F179" s="58" t="s">
        <v>57</v>
      </c>
      <c r="G179" s="58">
        <v>82.0</v>
      </c>
      <c r="H179" s="58">
        <v>23.0</v>
      </c>
      <c r="I179" s="58">
        <v>20.0</v>
      </c>
      <c r="J179" s="58">
        <f t="shared" si="1"/>
        <v>43</v>
      </c>
      <c r="K179" s="65">
        <f t="shared" si="2"/>
        <v>0.5243902439</v>
      </c>
      <c r="L179" s="66">
        <v>4300000.0</v>
      </c>
      <c r="M179" s="63"/>
      <c r="N179" s="63"/>
      <c r="O179" s="58">
        <v>50.0</v>
      </c>
      <c r="P179" s="177" t="s">
        <v>987</v>
      </c>
      <c r="Q179" s="38"/>
      <c r="R179" s="38">
        <f t="shared" si="3"/>
        <v>7</v>
      </c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</row>
    <row r="180">
      <c r="A180" s="218">
        <v>178.0</v>
      </c>
      <c r="B180" s="219" t="s">
        <v>988</v>
      </c>
      <c r="C180" s="61" t="s">
        <v>950</v>
      </c>
      <c r="D180" s="61">
        <v>24.0</v>
      </c>
      <c r="E180" s="58" t="s">
        <v>123</v>
      </c>
      <c r="F180" s="59" t="s">
        <v>255</v>
      </c>
      <c r="G180" s="61">
        <v>84.0</v>
      </c>
      <c r="H180" s="61">
        <v>22.0</v>
      </c>
      <c r="I180" s="61">
        <v>22.0</v>
      </c>
      <c r="J180" s="61">
        <f t="shared" si="1"/>
        <v>44</v>
      </c>
      <c r="K180" s="65">
        <f t="shared" si="2"/>
        <v>0.5238095238</v>
      </c>
      <c r="L180" s="66">
        <v>4100000.0</v>
      </c>
      <c r="M180" s="63"/>
      <c r="N180" s="58" t="s">
        <v>285</v>
      </c>
      <c r="O180" s="58">
        <v>50.0</v>
      </c>
      <c r="P180" s="177" t="s">
        <v>992</v>
      </c>
      <c r="Q180" s="38"/>
      <c r="R180" s="70">
        <f t="shared" si="3"/>
        <v>6</v>
      </c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</row>
    <row r="181">
      <c r="A181" s="218">
        <v>179.0</v>
      </c>
      <c r="B181" s="219" t="s">
        <v>973</v>
      </c>
      <c r="C181" s="61" t="s">
        <v>950</v>
      </c>
      <c r="D181" s="61">
        <v>27.0</v>
      </c>
      <c r="E181" s="63" t="s">
        <v>59</v>
      </c>
      <c r="F181" s="59" t="s">
        <v>262</v>
      </c>
      <c r="G181" s="61">
        <v>84.0</v>
      </c>
      <c r="H181" s="61">
        <v>18.0</v>
      </c>
      <c r="I181" s="61">
        <v>26.0</v>
      </c>
      <c r="J181" s="61">
        <f t="shared" si="1"/>
        <v>44</v>
      </c>
      <c r="K181" s="65">
        <f t="shared" si="2"/>
        <v>0.5238095238</v>
      </c>
      <c r="L181" s="66">
        <v>4375000.0</v>
      </c>
      <c r="M181" s="63"/>
      <c r="N181" s="63"/>
      <c r="O181" s="58">
        <v>50.0</v>
      </c>
      <c r="P181" s="177" t="s">
        <v>997</v>
      </c>
      <c r="Q181" s="38"/>
      <c r="R181" s="70">
        <f t="shared" si="3"/>
        <v>6</v>
      </c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</row>
    <row r="182">
      <c r="A182" s="218">
        <v>180.0</v>
      </c>
      <c r="B182" s="219" t="s">
        <v>998</v>
      </c>
      <c r="C182" s="61" t="s">
        <v>950</v>
      </c>
      <c r="D182" s="61">
        <v>25.0</v>
      </c>
      <c r="E182" s="58" t="s">
        <v>333</v>
      </c>
      <c r="F182" s="59" t="s">
        <v>54</v>
      </c>
      <c r="G182" s="61">
        <v>65.0</v>
      </c>
      <c r="H182" s="61">
        <v>12.0</v>
      </c>
      <c r="I182" s="61">
        <v>22.0</v>
      </c>
      <c r="J182" s="61">
        <f t="shared" si="1"/>
        <v>34</v>
      </c>
      <c r="K182" s="65">
        <f t="shared" si="2"/>
        <v>0.5230769231</v>
      </c>
      <c r="L182" s="66">
        <v>1600000.0</v>
      </c>
      <c r="M182" s="178"/>
      <c r="N182" s="58" t="s">
        <v>77</v>
      </c>
      <c r="O182" s="58">
        <v>50.0</v>
      </c>
      <c r="P182" s="177" t="s">
        <v>1002</v>
      </c>
      <c r="Q182" s="38"/>
      <c r="R182" s="70">
        <f t="shared" si="3"/>
        <v>16</v>
      </c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</row>
    <row r="183">
      <c r="A183" s="218">
        <v>181.0</v>
      </c>
      <c r="B183" s="175" t="s">
        <v>1003</v>
      </c>
      <c r="C183" s="61" t="s">
        <v>950</v>
      </c>
      <c r="D183" s="61">
        <v>24.0</v>
      </c>
      <c r="E183" s="58" t="s">
        <v>165</v>
      </c>
      <c r="F183" s="58" t="s">
        <v>145</v>
      </c>
      <c r="G183" s="58">
        <v>75.0</v>
      </c>
      <c r="H183" s="58">
        <v>17.0</v>
      </c>
      <c r="I183" s="58">
        <v>22.0</v>
      </c>
      <c r="J183" s="58">
        <f t="shared" si="1"/>
        <v>39</v>
      </c>
      <c r="K183" s="65">
        <f t="shared" si="2"/>
        <v>0.52</v>
      </c>
      <c r="L183" s="66">
        <v>3750000.0</v>
      </c>
      <c r="M183" s="63"/>
      <c r="N183" s="63"/>
      <c r="O183" s="58">
        <v>50.0</v>
      </c>
      <c r="P183" s="177" t="s">
        <v>1007</v>
      </c>
      <c r="Q183" s="38"/>
      <c r="R183" s="38">
        <f t="shared" si="3"/>
        <v>11</v>
      </c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</row>
    <row r="184">
      <c r="A184" s="218">
        <v>182.0</v>
      </c>
      <c r="B184" s="175" t="s">
        <v>1011</v>
      </c>
      <c r="C184" s="61" t="s">
        <v>950</v>
      </c>
      <c r="D184" s="61">
        <v>33.0</v>
      </c>
      <c r="E184" s="58" t="s">
        <v>59</v>
      </c>
      <c r="F184" s="58" t="s">
        <v>170</v>
      </c>
      <c r="G184" s="58">
        <v>50.0</v>
      </c>
      <c r="H184" s="58">
        <v>8.0</v>
      </c>
      <c r="I184" s="58">
        <v>18.0</v>
      </c>
      <c r="J184" s="58">
        <f t="shared" si="1"/>
        <v>26</v>
      </c>
      <c r="K184" s="65">
        <f t="shared" si="2"/>
        <v>0.52</v>
      </c>
      <c r="L184" s="66">
        <v>5900000.0</v>
      </c>
      <c r="M184" s="58" t="s">
        <v>77</v>
      </c>
      <c r="N184" s="63"/>
      <c r="O184" s="58">
        <v>55.0</v>
      </c>
      <c r="P184" s="177" t="s">
        <v>1015</v>
      </c>
      <c r="Q184" s="38"/>
      <c r="R184" s="38">
        <f t="shared" si="3"/>
        <v>29</v>
      </c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</row>
    <row r="185">
      <c r="A185" s="218">
        <v>183.0</v>
      </c>
      <c r="B185" s="219" t="s">
        <v>851</v>
      </c>
      <c r="C185" s="61" t="s">
        <v>950</v>
      </c>
      <c r="D185" s="61">
        <v>27.0</v>
      </c>
      <c r="E185" s="58" t="s">
        <v>165</v>
      </c>
      <c r="F185" s="59" t="s">
        <v>83</v>
      </c>
      <c r="G185" s="61">
        <v>80.0</v>
      </c>
      <c r="H185" s="61">
        <v>15.0</v>
      </c>
      <c r="I185" s="61">
        <v>26.0</v>
      </c>
      <c r="J185" s="61">
        <f t="shared" si="1"/>
        <v>41</v>
      </c>
      <c r="K185" s="65">
        <f t="shared" si="2"/>
        <v>0.5125</v>
      </c>
      <c r="L185" s="66">
        <v>5750000.0</v>
      </c>
      <c r="M185" s="63"/>
      <c r="N185" s="63"/>
      <c r="O185" s="58">
        <v>50.0</v>
      </c>
      <c r="P185" s="177" t="s">
        <v>1018</v>
      </c>
      <c r="Q185" s="38"/>
      <c r="R185" s="70">
        <f t="shared" si="3"/>
        <v>9</v>
      </c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</row>
    <row r="186">
      <c r="A186" s="218">
        <v>184.0</v>
      </c>
      <c r="B186" s="219" t="s">
        <v>1006</v>
      </c>
      <c r="C186" s="61" t="s">
        <v>950</v>
      </c>
      <c r="D186" s="61">
        <v>21.0</v>
      </c>
      <c r="E186" s="58" t="s">
        <v>123</v>
      </c>
      <c r="F186" s="59" t="s">
        <v>225</v>
      </c>
      <c r="G186" s="61">
        <v>84.0</v>
      </c>
      <c r="H186" s="61">
        <v>26.0</v>
      </c>
      <c r="I186" s="61">
        <v>17.0</v>
      </c>
      <c r="J186" s="61">
        <f t="shared" si="1"/>
        <v>43</v>
      </c>
      <c r="K186" s="65">
        <f t="shared" si="2"/>
        <v>0.5119047619</v>
      </c>
      <c r="L186" s="66">
        <v>925000.0</v>
      </c>
      <c r="M186" s="178"/>
      <c r="N186" s="63"/>
      <c r="O186" s="58">
        <v>55.0</v>
      </c>
      <c r="P186" s="177" t="s">
        <v>1023</v>
      </c>
      <c r="Q186" s="76"/>
      <c r="R186" s="70">
        <f t="shared" si="3"/>
        <v>12</v>
      </c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</row>
    <row r="187">
      <c r="A187" s="218">
        <v>185.0</v>
      </c>
      <c r="B187" s="175" t="s">
        <v>1026</v>
      </c>
      <c r="C187" s="61" t="s">
        <v>950</v>
      </c>
      <c r="D187" s="61">
        <v>37.0</v>
      </c>
      <c r="E187" s="58" t="s">
        <v>333</v>
      </c>
      <c r="F187" s="58" t="s">
        <v>43</v>
      </c>
      <c r="G187" s="58">
        <v>84.0</v>
      </c>
      <c r="H187" s="58">
        <v>15.0</v>
      </c>
      <c r="I187" s="58">
        <v>28.0</v>
      </c>
      <c r="J187" s="58">
        <f t="shared" si="1"/>
        <v>43</v>
      </c>
      <c r="K187" s="65">
        <f t="shared" si="2"/>
        <v>0.5119047619</v>
      </c>
      <c r="L187" s="66">
        <v>850000.0</v>
      </c>
      <c r="M187" s="178"/>
      <c r="N187" s="58" t="s">
        <v>77</v>
      </c>
      <c r="O187" s="58">
        <v>50.0</v>
      </c>
      <c r="P187" s="177" t="s">
        <v>1029</v>
      </c>
      <c r="Q187" s="38"/>
      <c r="R187" s="38">
        <f t="shared" si="3"/>
        <v>7</v>
      </c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</row>
    <row r="188">
      <c r="A188" s="218">
        <v>186.0</v>
      </c>
      <c r="B188" s="175" t="s">
        <v>1031</v>
      </c>
      <c r="C188" s="61" t="s">
        <v>950</v>
      </c>
      <c r="D188" s="61">
        <v>38.0</v>
      </c>
      <c r="E188" s="58" t="s">
        <v>123</v>
      </c>
      <c r="F188" s="58" t="s">
        <v>122</v>
      </c>
      <c r="G188" s="58">
        <v>84.0</v>
      </c>
      <c r="H188" s="58">
        <v>13.0</v>
      </c>
      <c r="I188" s="58">
        <v>30.0</v>
      </c>
      <c r="J188" s="58">
        <f t="shared" si="1"/>
        <v>43</v>
      </c>
      <c r="K188" s="65">
        <f t="shared" si="2"/>
        <v>0.5119047619</v>
      </c>
      <c r="L188" s="66">
        <v>2000000.0</v>
      </c>
      <c r="M188" s="63"/>
      <c r="N188" s="63"/>
      <c r="O188" s="58">
        <v>55.0</v>
      </c>
      <c r="P188" s="177" t="s">
        <v>1035</v>
      </c>
      <c r="Q188" s="38"/>
      <c r="R188" s="38">
        <f t="shared" si="3"/>
        <v>12</v>
      </c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</row>
    <row r="189">
      <c r="A189" s="218">
        <v>187.0</v>
      </c>
      <c r="B189" s="234" t="s">
        <v>1037</v>
      </c>
      <c r="C189" s="61" t="s">
        <v>950</v>
      </c>
      <c r="D189" s="61">
        <v>29.0</v>
      </c>
      <c r="E189" s="58" t="s">
        <v>1038</v>
      </c>
      <c r="F189" s="58" t="s">
        <v>157</v>
      </c>
      <c r="G189" s="58">
        <v>65.0</v>
      </c>
      <c r="H189" s="58">
        <v>18.0</v>
      </c>
      <c r="I189" s="58">
        <v>15.0</v>
      </c>
      <c r="J189" s="58">
        <f t="shared" si="1"/>
        <v>33</v>
      </c>
      <c r="K189" s="65">
        <f t="shared" si="2"/>
        <v>0.5076923077</v>
      </c>
      <c r="L189" s="66">
        <v>4000000.0</v>
      </c>
      <c r="M189" s="63"/>
      <c r="N189" s="63"/>
      <c r="O189" s="58">
        <v>50.0</v>
      </c>
      <c r="P189" s="177" t="s">
        <v>1039</v>
      </c>
      <c r="Q189" s="38"/>
      <c r="R189" s="38">
        <f t="shared" si="3"/>
        <v>17</v>
      </c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</row>
    <row r="190">
      <c r="A190" s="218">
        <v>188.0</v>
      </c>
      <c r="B190" s="235" t="s">
        <v>1042</v>
      </c>
      <c r="C190" s="61" t="s">
        <v>950</v>
      </c>
      <c r="D190" s="220">
        <v>21.0</v>
      </c>
      <c r="E190" s="58" t="s">
        <v>165</v>
      </c>
      <c r="F190" s="59" t="s">
        <v>114</v>
      </c>
      <c r="G190" s="61">
        <v>84.0</v>
      </c>
      <c r="H190" s="61">
        <v>17.0</v>
      </c>
      <c r="I190" s="61">
        <v>25.0</v>
      </c>
      <c r="J190" s="61">
        <f t="shared" si="1"/>
        <v>42</v>
      </c>
      <c r="K190" s="65">
        <f t="shared" si="2"/>
        <v>0.5</v>
      </c>
      <c r="L190" s="66">
        <v>921667.0</v>
      </c>
      <c r="M190" s="178"/>
      <c r="N190" s="63"/>
      <c r="O190" s="58">
        <v>50.0</v>
      </c>
      <c r="P190" s="177" t="s">
        <v>1044</v>
      </c>
      <c r="Q190" s="76"/>
      <c r="R190" s="70">
        <f t="shared" si="3"/>
        <v>8</v>
      </c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</row>
    <row r="191">
      <c r="A191" s="218">
        <v>189.0</v>
      </c>
      <c r="B191" s="175" t="s">
        <v>1047</v>
      </c>
      <c r="C191" s="61" t="s">
        <v>950</v>
      </c>
      <c r="D191" s="61">
        <v>25.0</v>
      </c>
      <c r="E191" s="58" t="s">
        <v>333</v>
      </c>
      <c r="F191" s="58" t="s">
        <v>124</v>
      </c>
      <c r="G191" s="58">
        <v>78.0</v>
      </c>
      <c r="H191" s="58">
        <v>13.0</v>
      </c>
      <c r="I191" s="58">
        <v>26.0</v>
      </c>
      <c r="J191" s="58">
        <f t="shared" si="1"/>
        <v>39</v>
      </c>
      <c r="K191" s="65">
        <f t="shared" si="2"/>
        <v>0.5</v>
      </c>
      <c r="L191" s="66">
        <v>1200000.0</v>
      </c>
      <c r="M191" s="63"/>
      <c r="N191" s="63"/>
      <c r="O191" s="58">
        <v>45.0</v>
      </c>
      <c r="P191" s="177" t="s">
        <v>1050</v>
      </c>
      <c r="Q191" s="38"/>
      <c r="R191" s="38">
        <f t="shared" si="3"/>
        <v>6</v>
      </c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</row>
    <row r="192">
      <c r="A192" s="218">
        <v>190.0</v>
      </c>
      <c r="B192" s="175" t="s">
        <v>1052</v>
      </c>
      <c r="C192" s="61" t="s">
        <v>950</v>
      </c>
      <c r="D192" s="61">
        <v>30.0</v>
      </c>
      <c r="E192" s="58" t="s">
        <v>123</v>
      </c>
      <c r="F192" s="58" t="s">
        <v>228</v>
      </c>
      <c r="G192" s="58">
        <v>60.0</v>
      </c>
      <c r="H192" s="58">
        <v>15.0</v>
      </c>
      <c r="I192" s="58">
        <v>15.0</v>
      </c>
      <c r="J192" s="58">
        <f t="shared" si="1"/>
        <v>30</v>
      </c>
      <c r="K192" s="65">
        <f t="shared" si="2"/>
        <v>0.5</v>
      </c>
      <c r="L192" s="66">
        <v>5000000.0</v>
      </c>
      <c r="M192" s="63"/>
      <c r="N192" s="58" t="s">
        <v>77</v>
      </c>
      <c r="O192" s="58">
        <v>50.0</v>
      </c>
      <c r="P192" s="177" t="s">
        <v>1055</v>
      </c>
      <c r="Q192" s="38"/>
      <c r="R192" s="38">
        <f t="shared" si="3"/>
        <v>20</v>
      </c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</row>
    <row r="193">
      <c r="A193" s="218">
        <v>191.0</v>
      </c>
      <c r="B193" s="219" t="s">
        <v>1056</v>
      </c>
      <c r="C193" s="61" t="s">
        <v>950</v>
      </c>
      <c r="D193" s="61">
        <v>31.0</v>
      </c>
      <c r="E193" s="58" t="s">
        <v>165</v>
      </c>
      <c r="F193" s="59" t="s">
        <v>255</v>
      </c>
      <c r="G193" s="61">
        <v>72.0</v>
      </c>
      <c r="H193" s="61">
        <v>15.0</v>
      </c>
      <c r="I193" s="61">
        <v>21.0</v>
      </c>
      <c r="J193" s="61">
        <f t="shared" si="1"/>
        <v>36</v>
      </c>
      <c r="K193" s="65">
        <f t="shared" si="2"/>
        <v>0.5</v>
      </c>
      <c r="L193" s="66">
        <v>4200000.0</v>
      </c>
      <c r="M193" s="63"/>
      <c r="N193" s="63"/>
      <c r="O193" s="58">
        <v>50.0</v>
      </c>
      <c r="P193" s="177" t="s">
        <v>1058</v>
      </c>
      <c r="Q193" s="38"/>
      <c r="R193" s="70">
        <f t="shared" si="3"/>
        <v>14</v>
      </c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</row>
    <row r="194">
      <c r="A194" s="218">
        <v>192.0</v>
      </c>
      <c r="B194" s="175" t="s">
        <v>1060</v>
      </c>
      <c r="C194" s="61" t="s">
        <v>950</v>
      </c>
      <c r="D194" s="61">
        <v>33.0</v>
      </c>
      <c r="E194" s="58" t="s">
        <v>59</v>
      </c>
      <c r="F194" s="58" t="s">
        <v>235</v>
      </c>
      <c r="G194" s="58">
        <v>60.0</v>
      </c>
      <c r="H194" s="58">
        <v>13.0</v>
      </c>
      <c r="I194" s="58">
        <v>17.0</v>
      </c>
      <c r="J194" s="58">
        <f t="shared" si="1"/>
        <v>30</v>
      </c>
      <c r="K194" s="65">
        <f t="shared" si="2"/>
        <v>0.5</v>
      </c>
      <c r="L194" s="66">
        <v>5750000.0</v>
      </c>
      <c r="M194" s="58" t="s">
        <v>77</v>
      </c>
      <c r="N194" s="58" t="s">
        <v>77</v>
      </c>
      <c r="O194" s="58">
        <v>50.0</v>
      </c>
      <c r="P194" s="177" t="s">
        <v>1061</v>
      </c>
      <c r="Q194" s="38"/>
      <c r="R194" s="38">
        <f t="shared" si="3"/>
        <v>20</v>
      </c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</row>
    <row r="195">
      <c r="A195" s="218">
        <v>193.0</v>
      </c>
      <c r="B195" s="175" t="s">
        <v>1064</v>
      </c>
      <c r="C195" s="61" t="s">
        <v>950</v>
      </c>
      <c r="D195" s="61">
        <v>34.0</v>
      </c>
      <c r="E195" s="58" t="s">
        <v>333</v>
      </c>
      <c r="F195" s="58" t="s">
        <v>64</v>
      </c>
      <c r="G195" s="61">
        <v>60.0</v>
      </c>
      <c r="H195" s="61">
        <v>14.0</v>
      </c>
      <c r="I195" s="61">
        <v>16.0</v>
      </c>
      <c r="J195" s="61">
        <f t="shared" si="1"/>
        <v>30</v>
      </c>
      <c r="K195" s="65">
        <f t="shared" si="2"/>
        <v>0.5</v>
      </c>
      <c r="L195" s="66">
        <v>3250000.0</v>
      </c>
      <c r="M195" s="58" t="s">
        <v>1065</v>
      </c>
      <c r="N195" s="58" t="s">
        <v>77</v>
      </c>
      <c r="O195" s="58">
        <v>50.0</v>
      </c>
      <c r="P195" s="177" t="s">
        <v>1066</v>
      </c>
      <c r="Q195" s="38"/>
      <c r="R195" s="70">
        <f t="shared" si="3"/>
        <v>20</v>
      </c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</row>
    <row r="196">
      <c r="A196" s="218">
        <v>194.0</v>
      </c>
      <c r="B196" s="175" t="s">
        <v>1069</v>
      </c>
      <c r="C196" s="61" t="s">
        <v>950</v>
      </c>
      <c r="D196" s="61">
        <v>35.0</v>
      </c>
      <c r="E196" s="58" t="s">
        <v>123</v>
      </c>
      <c r="F196" s="58" t="s">
        <v>196</v>
      </c>
      <c r="G196" s="58">
        <v>72.0</v>
      </c>
      <c r="H196" s="58">
        <v>18.0</v>
      </c>
      <c r="I196" s="58">
        <v>18.0</v>
      </c>
      <c r="J196" s="58">
        <f t="shared" si="1"/>
        <v>36</v>
      </c>
      <c r="K196" s="65">
        <f t="shared" si="2"/>
        <v>0.5</v>
      </c>
      <c r="L196" s="66">
        <v>5500000.0</v>
      </c>
      <c r="M196" s="63"/>
      <c r="N196" s="63"/>
      <c r="O196" s="58">
        <v>50.0</v>
      </c>
      <c r="P196" s="177" t="s">
        <v>1071</v>
      </c>
      <c r="Q196" s="38"/>
      <c r="R196" s="38">
        <f t="shared" si="3"/>
        <v>14</v>
      </c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</row>
    <row r="197">
      <c r="A197" s="218">
        <v>195.0</v>
      </c>
      <c r="B197" s="175" t="s">
        <v>1074</v>
      </c>
      <c r="C197" s="61" t="s">
        <v>950</v>
      </c>
      <c r="D197" s="61">
        <v>36.0</v>
      </c>
      <c r="E197" s="58" t="s">
        <v>165</v>
      </c>
      <c r="F197" s="58" t="s">
        <v>57</v>
      </c>
      <c r="G197" s="58">
        <v>84.0</v>
      </c>
      <c r="H197" s="58">
        <v>20.0</v>
      </c>
      <c r="I197" s="58">
        <v>21.0</v>
      </c>
      <c r="J197" s="58">
        <f t="shared" si="1"/>
        <v>41</v>
      </c>
      <c r="K197" s="65">
        <f t="shared" si="2"/>
        <v>0.4880952381</v>
      </c>
      <c r="L197" s="66">
        <v>5400000.0</v>
      </c>
      <c r="M197" s="63"/>
      <c r="N197" s="63"/>
      <c r="O197" s="58">
        <v>50.0</v>
      </c>
      <c r="P197" s="177" t="s">
        <v>1075</v>
      </c>
      <c r="Q197" s="38"/>
      <c r="R197" s="38">
        <f t="shared" si="3"/>
        <v>9</v>
      </c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</row>
    <row r="198">
      <c r="A198" s="218">
        <v>196.0</v>
      </c>
      <c r="B198" s="175" t="s">
        <v>1078</v>
      </c>
      <c r="C198" s="61" t="s">
        <v>950</v>
      </c>
      <c r="D198" s="61">
        <v>19.0</v>
      </c>
      <c r="E198" s="58" t="s">
        <v>165</v>
      </c>
      <c r="F198" s="58" t="s">
        <v>96</v>
      </c>
      <c r="G198" s="58">
        <v>70.0</v>
      </c>
      <c r="H198" s="58">
        <v>12.0</v>
      </c>
      <c r="I198" s="58">
        <v>22.0</v>
      </c>
      <c r="J198" s="58">
        <f t="shared" si="1"/>
        <v>34</v>
      </c>
      <c r="K198" s="65">
        <f t="shared" si="2"/>
        <v>0.4857142857</v>
      </c>
      <c r="L198" s="66">
        <v>1075000.0</v>
      </c>
      <c r="M198" s="63"/>
      <c r="N198" s="58" t="s">
        <v>77</v>
      </c>
      <c r="O198" s="58">
        <v>60.0</v>
      </c>
      <c r="P198" s="177" t="s">
        <v>1079</v>
      </c>
      <c r="Q198" s="38"/>
      <c r="R198" s="38">
        <f t="shared" si="3"/>
        <v>26</v>
      </c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</row>
    <row r="199">
      <c r="A199" s="218">
        <v>197.0</v>
      </c>
      <c r="B199" s="175" t="s">
        <v>1081</v>
      </c>
      <c r="C199" s="61" t="s">
        <v>950</v>
      </c>
      <c r="D199" s="61">
        <v>20.0</v>
      </c>
      <c r="E199" s="58" t="s">
        <v>59</v>
      </c>
      <c r="F199" s="58" t="s">
        <v>235</v>
      </c>
      <c r="G199" s="58">
        <v>60.0</v>
      </c>
      <c r="H199" s="58">
        <v>14.0</v>
      </c>
      <c r="I199" s="58">
        <v>15.0</v>
      </c>
      <c r="J199" s="58">
        <f t="shared" si="1"/>
        <v>29</v>
      </c>
      <c r="K199" s="65">
        <f t="shared" si="2"/>
        <v>0.4833333333</v>
      </c>
      <c r="L199" s="66">
        <v>932500.0</v>
      </c>
      <c r="M199" s="63"/>
      <c r="N199" s="63"/>
      <c r="O199" s="58">
        <v>50.0</v>
      </c>
      <c r="P199" s="177" t="s">
        <v>1083</v>
      </c>
      <c r="Q199" s="38"/>
      <c r="R199" s="38">
        <f t="shared" si="3"/>
        <v>21</v>
      </c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</row>
    <row r="200">
      <c r="A200" s="218">
        <v>198.0</v>
      </c>
      <c r="B200" s="175" t="s">
        <v>1084</v>
      </c>
      <c r="C200" s="61" t="s">
        <v>950</v>
      </c>
      <c r="D200" s="61">
        <v>24.0</v>
      </c>
      <c r="E200" s="58" t="s">
        <v>165</v>
      </c>
      <c r="F200" s="58" t="s">
        <v>88</v>
      </c>
      <c r="G200" s="58">
        <v>84.0</v>
      </c>
      <c r="H200" s="58">
        <v>18.0</v>
      </c>
      <c r="I200" s="58">
        <v>22.0</v>
      </c>
      <c r="J200" s="58">
        <f t="shared" si="1"/>
        <v>40</v>
      </c>
      <c r="K200" s="65">
        <f t="shared" si="2"/>
        <v>0.4761904762</v>
      </c>
      <c r="L200" s="66">
        <v>3900000.0</v>
      </c>
      <c r="M200" s="63"/>
      <c r="N200" s="63"/>
      <c r="O200" s="58">
        <v>45.0</v>
      </c>
      <c r="P200" s="177" t="s">
        <v>1087</v>
      </c>
      <c r="Q200" s="76"/>
      <c r="R200" s="38">
        <f t="shared" si="3"/>
        <v>5</v>
      </c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</row>
    <row r="201">
      <c r="A201" s="218">
        <v>199.0</v>
      </c>
      <c r="B201" s="175" t="s">
        <v>1089</v>
      </c>
      <c r="C201" s="61" t="s">
        <v>950</v>
      </c>
      <c r="D201" s="61">
        <v>24.0</v>
      </c>
      <c r="E201" s="58" t="s">
        <v>123</v>
      </c>
      <c r="F201" s="58" t="s">
        <v>153</v>
      </c>
      <c r="G201" s="58">
        <v>84.0</v>
      </c>
      <c r="H201" s="58">
        <v>20.0</v>
      </c>
      <c r="I201" s="58">
        <v>20.0</v>
      </c>
      <c r="J201" s="58">
        <f t="shared" si="1"/>
        <v>40</v>
      </c>
      <c r="K201" s="65">
        <f t="shared" si="2"/>
        <v>0.4761904762</v>
      </c>
      <c r="L201" s="66">
        <v>4000000.0</v>
      </c>
      <c r="M201" s="63"/>
      <c r="N201" s="63"/>
      <c r="O201" s="58">
        <v>50.0</v>
      </c>
      <c r="P201" s="177" t="s">
        <v>1092</v>
      </c>
      <c r="Q201" s="38"/>
      <c r="R201" s="38">
        <f t="shared" si="3"/>
        <v>10</v>
      </c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</row>
    <row r="202">
      <c r="A202" s="218">
        <v>200.0</v>
      </c>
      <c r="B202" s="219" t="s">
        <v>1094</v>
      </c>
      <c r="C202" s="61" t="s">
        <v>950</v>
      </c>
      <c r="D202" s="220">
        <v>25.0</v>
      </c>
      <c r="E202" s="58" t="s">
        <v>165</v>
      </c>
      <c r="F202" s="59" t="s">
        <v>49</v>
      </c>
      <c r="G202" s="61">
        <v>84.0</v>
      </c>
      <c r="H202" s="61">
        <v>20.0</v>
      </c>
      <c r="I202" s="61">
        <v>20.0</v>
      </c>
      <c r="J202" s="61">
        <f t="shared" si="1"/>
        <v>40</v>
      </c>
      <c r="K202" s="65">
        <f t="shared" si="2"/>
        <v>0.4761904762</v>
      </c>
      <c r="L202" s="66">
        <v>2950000.0</v>
      </c>
      <c r="M202" s="63"/>
      <c r="N202" s="63"/>
      <c r="O202" s="58">
        <v>50.0</v>
      </c>
      <c r="P202" s="177" t="s">
        <v>1097</v>
      </c>
      <c r="Q202" s="38"/>
      <c r="R202" s="70">
        <f t="shared" si="3"/>
        <v>10</v>
      </c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</row>
    <row r="203">
      <c r="A203" s="218">
        <v>201.0</v>
      </c>
      <c r="B203" s="175" t="s">
        <v>1099</v>
      </c>
      <c r="C203" s="61" t="s">
        <v>950</v>
      </c>
      <c r="D203" s="61">
        <v>29.0</v>
      </c>
      <c r="E203" s="58" t="s">
        <v>59</v>
      </c>
      <c r="F203" s="58" t="s">
        <v>228</v>
      </c>
      <c r="G203" s="58">
        <v>84.0</v>
      </c>
      <c r="H203" s="58">
        <v>15.0</v>
      </c>
      <c r="I203" s="58">
        <v>25.0</v>
      </c>
      <c r="J203" s="58">
        <f t="shared" si="1"/>
        <v>40</v>
      </c>
      <c r="K203" s="65">
        <f t="shared" si="2"/>
        <v>0.4761904762</v>
      </c>
      <c r="L203" s="66">
        <v>3500000.0</v>
      </c>
      <c r="M203" s="63"/>
      <c r="N203" s="58" t="s">
        <v>77</v>
      </c>
      <c r="O203" s="58">
        <v>50.0</v>
      </c>
      <c r="P203" s="177" t="s">
        <v>1100</v>
      </c>
      <c r="Q203" s="38"/>
      <c r="R203" s="38">
        <f t="shared" si="3"/>
        <v>10</v>
      </c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</row>
    <row r="204">
      <c r="A204" s="218">
        <v>202.0</v>
      </c>
      <c r="B204" s="175" t="s">
        <v>1102</v>
      </c>
      <c r="C204" s="61" t="s">
        <v>950</v>
      </c>
      <c r="D204" s="61">
        <v>32.0</v>
      </c>
      <c r="E204" s="58" t="s">
        <v>123</v>
      </c>
      <c r="F204" s="58" t="s">
        <v>153</v>
      </c>
      <c r="G204" s="58">
        <v>76.0</v>
      </c>
      <c r="H204" s="58">
        <v>15.0</v>
      </c>
      <c r="I204" s="58">
        <v>21.0</v>
      </c>
      <c r="J204" s="58">
        <f t="shared" si="1"/>
        <v>36</v>
      </c>
      <c r="K204" s="65">
        <f t="shared" si="2"/>
        <v>0.4736842105</v>
      </c>
      <c r="L204" s="66">
        <v>3000000.0</v>
      </c>
      <c r="M204" s="63"/>
      <c r="N204" s="63"/>
      <c r="O204" s="58">
        <v>45.0</v>
      </c>
      <c r="P204" s="177" t="s">
        <v>1105</v>
      </c>
      <c r="Q204" s="38"/>
      <c r="R204" s="38">
        <f t="shared" si="3"/>
        <v>9</v>
      </c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</row>
    <row r="205">
      <c r="A205" s="218">
        <v>203.0</v>
      </c>
      <c r="B205" s="236" t="s">
        <v>1106</v>
      </c>
      <c r="C205" s="61" t="s">
        <v>950</v>
      </c>
      <c r="D205" s="61">
        <v>20.0</v>
      </c>
      <c r="E205" s="58" t="s">
        <v>404</v>
      </c>
      <c r="F205" s="58" t="s">
        <v>96</v>
      </c>
      <c r="G205" s="58">
        <v>72.0</v>
      </c>
      <c r="H205" s="58">
        <v>12.0</v>
      </c>
      <c r="I205" s="58">
        <v>22.0</v>
      </c>
      <c r="J205" s="58">
        <f t="shared" si="1"/>
        <v>34</v>
      </c>
      <c r="K205" s="65">
        <f t="shared" si="2"/>
        <v>0.4722222222</v>
      </c>
      <c r="L205" s="66">
        <v>945417.0</v>
      </c>
      <c r="M205" s="63"/>
      <c r="N205" s="58" t="s">
        <v>77</v>
      </c>
      <c r="O205" s="58">
        <v>60.0</v>
      </c>
      <c r="P205" s="177" t="s">
        <v>1110</v>
      </c>
      <c r="Q205" s="38"/>
      <c r="R205" s="38">
        <f t="shared" si="3"/>
        <v>26</v>
      </c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</row>
    <row r="206">
      <c r="A206" s="218">
        <v>204.0</v>
      </c>
      <c r="B206" s="175" t="s">
        <v>1111</v>
      </c>
      <c r="C206" s="61" t="s">
        <v>950</v>
      </c>
      <c r="D206" s="61">
        <v>30.0</v>
      </c>
      <c r="E206" s="58" t="s">
        <v>165</v>
      </c>
      <c r="F206" s="58" t="s">
        <v>196</v>
      </c>
      <c r="G206" s="58">
        <v>70.0</v>
      </c>
      <c r="H206" s="58">
        <v>18.0</v>
      </c>
      <c r="I206" s="58">
        <v>15.0</v>
      </c>
      <c r="J206" s="58">
        <f t="shared" si="1"/>
        <v>33</v>
      </c>
      <c r="K206" s="65">
        <f t="shared" si="2"/>
        <v>0.4714285714</v>
      </c>
      <c r="L206" s="66">
        <v>4000000.0</v>
      </c>
      <c r="M206" s="58" t="s">
        <v>77</v>
      </c>
      <c r="N206" s="63"/>
      <c r="O206" s="58">
        <v>40.0</v>
      </c>
      <c r="P206" s="177" t="s">
        <v>1113</v>
      </c>
      <c r="Q206" s="38"/>
      <c r="R206" s="38">
        <f t="shared" si="3"/>
        <v>7</v>
      </c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</row>
    <row r="207">
      <c r="A207" s="218">
        <v>205.0</v>
      </c>
      <c r="B207" s="175" t="s">
        <v>1115</v>
      </c>
      <c r="C207" s="61" t="s">
        <v>950</v>
      </c>
      <c r="D207" s="61">
        <v>19.0</v>
      </c>
      <c r="E207" s="58" t="s">
        <v>95</v>
      </c>
      <c r="F207" s="58" t="s">
        <v>96</v>
      </c>
      <c r="G207" s="58">
        <v>75.0</v>
      </c>
      <c r="H207" s="58">
        <v>15.0</v>
      </c>
      <c r="I207" s="58">
        <v>20.0</v>
      </c>
      <c r="J207" s="58">
        <f t="shared" si="1"/>
        <v>35</v>
      </c>
      <c r="K207" s="65">
        <f t="shared" si="2"/>
        <v>0.4666666667</v>
      </c>
      <c r="L207" s="66">
        <v>986250.0</v>
      </c>
      <c r="M207" s="63"/>
      <c r="N207" s="58" t="s">
        <v>77</v>
      </c>
      <c r="O207" s="58">
        <v>55.0</v>
      </c>
      <c r="P207" s="177" t="s">
        <v>1118</v>
      </c>
      <c r="Q207" s="76"/>
      <c r="R207" s="38">
        <f t="shared" si="3"/>
        <v>20</v>
      </c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</row>
    <row r="208">
      <c r="A208" s="218">
        <v>206.0</v>
      </c>
      <c r="B208" s="219" t="s">
        <v>841</v>
      </c>
      <c r="C208" s="61" t="s">
        <v>950</v>
      </c>
      <c r="D208" s="220">
        <v>22.0</v>
      </c>
      <c r="E208" s="63" t="s">
        <v>59</v>
      </c>
      <c r="F208" s="59" t="s">
        <v>83</v>
      </c>
      <c r="G208" s="61">
        <v>84.0</v>
      </c>
      <c r="H208" s="61">
        <v>20.0</v>
      </c>
      <c r="I208" s="61">
        <v>19.0</v>
      </c>
      <c r="J208" s="61">
        <f t="shared" si="1"/>
        <v>39</v>
      </c>
      <c r="K208" s="65">
        <f t="shared" si="2"/>
        <v>0.4642857143</v>
      </c>
      <c r="L208" s="66">
        <v>879166.0</v>
      </c>
      <c r="M208" s="63"/>
      <c r="N208" s="58" t="s">
        <v>77</v>
      </c>
      <c r="O208" s="58">
        <v>50.0</v>
      </c>
      <c r="P208" s="177" t="s">
        <v>1123</v>
      </c>
      <c r="Q208" s="38"/>
      <c r="R208" s="70">
        <f t="shared" si="3"/>
        <v>11</v>
      </c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</row>
    <row r="209">
      <c r="A209" s="218">
        <v>207.0</v>
      </c>
      <c r="B209" s="219" t="s">
        <v>969</v>
      </c>
      <c r="C209" s="61" t="s">
        <v>950</v>
      </c>
      <c r="D209" s="61">
        <v>26.0</v>
      </c>
      <c r="E209" s="58" t="s">
        <v>123</v>
      </c>
      <c r="F209" s="59" t="s">
        <v>262</v>
      </c>
      <c r="G209" s="61">
        <v>84.0</v>
      </c>
      <c r="H209" s="61">
        <v>17.0</v>
      </c>
      <c r="I209" s="61">
        <v>22.0</v>
      </c>
      <c r="J209" s="61">
        <f t="shared" si="1"/>
        <v>39</v>
      </c>
      <c r="K209" s="65">
        <f t="shared" si="2"/>
        <v>0.4642857143</v>
      </c>
      <c r="L209" s="66">
        <v>5000000.0</v>
      </c>
      <c r="M209" s="63"/>
      <c r="N209" s="63"/>
      <c r="O209" s="58">
        <v>45.0</v>
      </c>
      <c r="P209" s="177" t="s">
        <v>1127</v>
      </c>
      <c r="Q209" s="76"/>
      <c r="R209" s="70">
        <f t="shared" si="3"/>
        <v>6</v>
      </c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</row>
    <row r="210">
      <c r="A210" s="218">
        <v>208.0</v>
      </c>
      <c r="B210" s="175" t="s">
        <v>1129</v>
      </c>
      <c r="C210" s="61" t="s">
        <v>950</v>
      </c>
      <c r="D210" s="61">
        <v>31.0</v>
      </c>
      <c r="E210" s="58" t="s">
        <v>123</v>
      </c>
      <c r="F210" s="58" t="s">
        <v>88</v>
      </c>
      <c r="G210" s="58">
        <v>84.0</v>
      </c>
      <c r="H210" s="58">
        <v>15.0</v>
      </c>
      <c r="I210" s="58">
        <v>24.0</v>
      </c>
      <c r="J210" s="58">
        <f t="shared" si="1"/>
        <v>39</v>
      </c>
      <c r="K210" s="65">
        <f t="shared" si="2"/>
        <v>0.4642857143</v>
      </c>
      <c r="L210" s="66">
        <v>4500000.0</v>
      </c>
      <c r="M210" s="63"/>
      <c r="N210" s="63"/>
      <c r="O210" s="58">
        <v>50.0</v>
      </c>
      <c r="P210" s="177" t="s">
        <v>1132</v>
      </c>
      <c r="Q210" s="38"/>
      <c r="R210" s="38">
        <f t="shared" si="3"/>
        <v>11</v>
      </c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</row>
    <row r="211">
      <c r="A211" s="218">
        <v>209.0</v>
      </c>
      <c r="B211" s="175" t="s">
        <v>1135</v>
      </c>
      <c r="C211" s="61" t="s">
        <v>950</v>
      </c>
      <c r="D211" s="61">
        <v>35.0</v>
      </c>
      <c r="E211" s="58" t="s">
        <v>600</v>
      </c>
      <c r="F211" s="58" t="s">
        <v>65</v>
      </c>
      <c r="G211" s="58">
        <v>84.0</v>
      </c>
      <c r="H211" s="58">
        <v>17.0</v>
      </c>
      <c r="I211" s="58">
        <v>22.0</v>
      </c>
      <c r="J211" s="58">
        <f t="shared" si="1"/>
        <v>39</v>
      </c>
      <c r="K211" s="65">
        <f t="shared" si="2"/>
        <v>0.4642857143</v>
      </c>
      <c r="L211" s="66">
        <v>6500000.0</v>
      </c>
      <c r="M211" s="63"/>
      <c r="N211" s="63"/>
      <c r="O211" s="58">
        <v>45.0</v>
      </c>
      <c r="P211" s="177" t="s">
        <v>1137</v>
      </c>
      <c r="Q211" s="76"/>
      <c r="R211" s="38">
        <f t="shared" si="3"/>
        <v>6</v>
      </c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</row>
    <row r="212">
      <c r="A212" s="218">
        <v>210.0</v>
      </c>
      <c r="B212" s="219" t="s">
        <v>928</v>
      </c>
      <c r="C212" s="61" t="s">
        <v>950</v>
      </c>
      <c r="D212" s="61">
        <v>20.0</v>
      </c>
      <c r="E212" s="63" t="s">
        <v>59</v>
      </c>
      <c r="F212" s="59" t="s">
        <v>98</v>
      </c>
      <c r="G212" s="61">
        <v>84.0</v>
      </c>
      <c r="H212" s="61">
        <v>15.0</v>
      </c>
      <c r="I212" s="61">
        <v>24.0</v>
      </c>
      <c r="J212" s="61">
        <f t="shared" si="1"/>
        <v>39</v>
      </c>
      <c r="K212" s="65">
        <f t="shared" si="2"/>
        <v>0.4642857143</v>
      </c>
      <c r="L212" s="66">
        <v>953750.0</v>
      </c>
      <c r="M212" s="178"/>
      <c r="N212" s="178"/>
      <c r="O212" s="58">
        <v>45.0</v>
      </c>
      <c r="P212" s="177" t="s">
        <v>1140</v>
      </c>
      <c r="Q212" s="38"/>
      <c r="R212" s="70">
        <f t="shared" si="3"/>
        <v>6</v>
      </c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</row>
    <row r="213">
      <c r="A213" s="218">
        <v>211.0</v>
      </c>
      <c r="B213" s="175" t="s">
        <v>1143</v>
      </c>
      <c r="C213" s="61" t="s">
        <v>950</v>
      </c>
      <c r="D213" s="61">
        <v>21.0</v>
      </c>
      <c r="E213" s="58" t="s">
        <v>123</v>
      </c>
      <c r="F213" s="58" t="s">
        <v>235</v>
      </c>
      <c r="G213" s="58">
        <v>80.0</v>
      </c>
      <c r="H213" s="58">
        <v>17.0</v>
      </c>
      <c r="I213" s="58">
        <v>20.0</v>
      </c>
      <c r="J213" s="58">
        <f t="shared" si="1"/>
        <v>37</v>
      </c>
      <c r="K213" s="65">
        <f t="shared" si="2"/>
        <v>0.4625</v>
      </c>
      <c r="L213" s="66">
        <v>950000.0</v>
      </c>
      <c r="M213" s="63"/>
      <c r="N213" s="58" t="s">
        <v>77</v>
      </c>
      <c r="O213" s="58">
        <v>60.0</v>
      </c>
      <c r="P213" s="177" t="s">
        <v>1146</v>
      </c>
      <c r="Q213" s="76"/>
      <c r="R213" s="38">
        <f t="shared" si="3"/>
        <v>23</v>
      </c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</row>
    <row r="214">
      <c r="A214" s="218">
        <v>212.0</v>
      </c>
      <c r="B214" s="175" t="s">
        <v>1149</v>
      </c>
      <c r="C214" s="61" t="s">
        <v>950</v>
      </c>
      <c r="D214" s="61">
        <v>24.0</v>
      </c>
      <c r="E214" s="58" t="s">
        <v>165</v>
      </c>
      <c r="F214" s="58" t="s">
        <v>122</v>
      </c>
      <c r="G214" s="58">
        <v>78.0</v>
      </c>
      <c r="H214" s="58">
        <v>13.0</v>
      </c>
      <c r="I214" s="58">
        <v>23.0</v>
      </c>
      <c r="J214" s="58">
        <f t="shared" si="1"/>
        <v>36</v>
      </c>
      <c r="K214" s="65">
        <f t="shared" si="2"/>
        <v>0.4615384615</v>
      </c>
      <c r="L214" s="66">
        <v>3250000.0</v>
      </c>
      <c r="M214" s="63"/>
      <c r="N214" s="63"/>
      <c r="O214" s="58">
        <v>45.0</v>
      </c>
      <c r="P214" s="177" t="s">
        <v>1150</v>
      </c>
      <c r="Q214" s="38"/>
      <c r="R214" s="38">
        <f t="shared" si="3"/>
        <v>9</v>
      </c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</row>
    <row r="215">
      <c r="A215" s="218">
        <v>213.0</v>
      </c>
      <c r="B215" s="175" t="s">
        <v>1153</v>
      </c>
      <c r="C215" s="61" t="s">
        <v>950</v>
      </c>
      <c r="D215" s="61">
        <v>25.0</v>
      </c>
      <c r="E215" s="58" t="s">
        <v>165</v>
      </c>
      <c r="F215" s="58" t="s">
        <v>153</v>
      </c>
      <c r="G215" s="58">
        <v>70.0</v>
      </c>
      <c r="H215" s="58">
        <v>14.0</v>
      </c>
      <c r="I215" s="58">
        <v>18.0</v>
      </c>
      <c r="J215" s="58">
        <f t="shared" si="1"/>
        <v>32</v>
      </c>
      <c r="K215" s="65">
        <f t="shared" si="2"/>
        <v>0.4571428571</v>
      </c>
      <c r="L215" s="66">
        <v>3250000.0</v>
      </c>
      <c r="M215" s="63"/>
      <c r="N215" s="63"/>
      <c r="O215" s="58">
        <v>45.0</v>
      </c>
      <c r="P215" s="177" t="s">
        <v>1157</v>
      </c>
      <c r="Q215" s="76"/>
      <c r="R215" s="38">
        <f t="shared" si="3"/>
        <v>13</v>
      </c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</row>
    <row r="216">
      <c r="A216" s="218">
        <v>214.0</v>
      </c>
      <c r="B216" s="175" t="s">
        <v>1158</v>
      </c>
      <c r="C216" s="61" t="s">
        <v>950</v>
      </c>
      <c r="D216" s="61">
        <v>28.0</v>
      </c>
      <c r="E216" s="58" t="s">
        <v>123</v>
      </c>
      <c r="F216" s="58" t="s">
        <v>228</v>
      </c>
      <c r="G216" s="58">
        <v>68.0</v>
      </c>
      <c r="H216" s="58">
        <v>15.0</v>
      </c>
      <c r="I216" s="58">
        <v>16.0</v>
      </c>
      <c r="J216" s="58">
        <f t="shared" si="1"/>
        <v>31</v>
      </c>
      <c r="K216" s="65">
        <f t="shared" si="2"/>
        <v>0.4558823529</v>
      </c>
      <c r="L216" s="66">
        <v>1500000.0</v>
      </c>
      <c r="M216" s="63"/>
      <c r="N216" s="63"/>
      <c r="O216" s="58">
        <v>45.0</v>
      </c>
      <c r="P216" s="177" t="s">
        <v>1160</v>
      </c>
      <c r="Q216" s="38"/>
      <c r="R216" s="38">
        <f t="shared" si="3"/>
        <v>14</v>
      </c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</row>
    <row r="217">
      <c r="A217" s="218">
        <v>215.0</v>
      </c>
      <c r="B217" s="175" t="s">
        <v>1161</v>
      </c>
      <c r="C217" s="61" t="s">
        <v>950</v>
      </c>
      <c r="D217" s="61">
        <v>28.0</v>
      </c>
      <c r="E217" s="58" t="s">
        <v>165</v>
      </c>
      <c r="F217" s="58" t="s">
        <v>170</v>
      </c>
      <c r="G217" s="58">
        <v>66.0</v>
      </c>
      <c r="H217" s="58">
        <v>15.0</v>
      </c>
      <c r="I217" s="58">
        <v>15.0</v>
      </c>
      <c r="J217" s="58">
        <f t="shared" si="1"/>
        <v>30</v>
      </c>
      <c r="K217" s="65">
        <f t="shared" si="2"/>
        <v>0.4545454545</v>
      </c>
      <c r="L217" s="66">
        <v>2500000.0</v>
      </c>
      <c r="M217" s="58" t="s">
        <v>77</v>
      </c>
      <c r="N217" s="58" t="s">
        <v>77</v>
      </c>
      <c r="O217" s="58">
        <v>45.0</v>
      </c>
      <c r="P217" s="177" t="s">
        <v>1163</v>
      </c>
      <c r="Q217" s="38"/>
      <c r="R217" s="38">
        <f t="shared" si="3"/>
        <v>15</v>
      </c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</row>
    <row r="218">
      <c r="A218" s="218">
        <v>216.0</v>
      </c>
      <c r="B218" s="175" t="s">
        <v>1164</v>
      </c>
      <c r="C218" s="61" t="s">
        <v>950</v>
      </c>
      <c r="D218" s="61">
        <v>31.0</v>
      </c>
      <c r="E218" s="58" t="s">
        <v>123</v>
      </c>
      <c r="F218" s="58" t="s">
        <v>96</v>
      </c>
      <c r="G218" s="58">
        <v>80.0</v>
      </c>
      <c r="H218" s="58">
        <v>17.0</v>
      </c>
      <c r="I218" s="58">
        <v>19.0</v>
      </c>
      <c r="J218" s="58">
        <f t="shared" si="1"/>
        <v>36</v>
      </c>
      <c r="K218" s="65">
        <f t="shared" si="2"/>
        <v>0.45</v>
      </c>
      <c r="L218" s="66">
        <v>5750000.0</v>
      </c>
      <c r="M218" s="63"/>
      <c r="N218" s="63"/>
      <c r="O218" s="58">
        <v>45.0</v>
      </c>
      <c r="P218" s="177" t="s">
        <v>1165</v>
      </c>
      <c r="Q218" s="38"/>
      <c r="R218" s="38">
        <f t="shared" si="3"/>
        <v>9</v>
      </c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</row>
    <row r="219">
      <c r="A219" s="218">
        <v>217.0</v>
      </c>
      <c r="B219" s="221" t="s">
        <v>1166</v>
      </c>
      <c r="C219" s="209" t="s">
        <v>950</v>
      </c>
      <c r="D219" s="209">
        <v>25.0</v>
      </c>
      <c r="E219" s="210" t="s">
        <v>123</v>
      </c>
      <c r="F219" s="210" t="s">
        <v>269</v>
      </c>
      <c r="G219" s="210">
        <v>65.0</v>
      </c>
      <c r="H219" s="210">
        <v>11.0</v>
      </c>
      <c r="I219" s="210">
        <v>18.0</v>
      </c>
      <c r="J219" s="210">
        <f t="shared" si="1"/>
        <v>29</v>
      </c>
      <c r="K219" s="211">
        <f t="shared" si="2"/>
        <v>0.4461538462</v>
      </c>
      <c r="L219" s="212">
        <v>4525000.0</v>
      </c>
      <c r="M219" s="210" t="s">
        <v>77</v>
      </c>
      <c r="N219" s="210" t="s">
        <v>77</v>
      </c>
      <c r="O219" s="210">
        <v>50.0</v>
      </c>
      <c r="P219" s="222" t="s">
        <v>1167</v>
      </c>
      <c r="Q219" s="38"/>
      <c r="R219" s="38">
        <f t="shared" si="3"/>
        <v>21</v>
      </c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</row>
    <row r="220">
      <c r="A220" s="218">
        <v>218.0</v>
      </c>
      <c r="B220" s="168" t="s">
        <v>1169</v>
      </c>
      <c r="C220" s="170" t="s">
        <v>1171</v>
      </c>
      <c r="D220" s="170">
        <v>19.0</v>
      </c>
      <c r="E220" s="169" t="s">
        <v>59</v>
      </c>
      <c r="F220" s="169" t="s">
        <v>196</v>
      </c>
      <c r="G220" s="169">
        <v>9.0</v>
      </c>
      <c r="H220" s="169">
        <v>2.0</v>
      </c>
      <c r="I220" s="169">
        <v>2.0</v>
      </c>
      <c r="J220" s="169">
        <f t="shared" si="1"/>
        <v>4</v>
      </c>
      <c r="K220" s="171">
        <f t="shared" si="2"/>
        <v>0.4444444444</v>
      </c>
      <c r="L220" s="172">
        <v>974167.0</v>
      </c>
      <c r="M220" s="173"/>
      <c r="N220" s="173"/>
      <c r="O220" s="169">
        <v>40.0</v>
      </c>
      <c r="P220" s="174" t="s">
        <v>1173</v>
      </c>
      <c r="Q220" s="38"/>
      <c r="R220" s="38">
        <f t="shared" si="3"/>
        <v>36</v>
      </c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</row>
    <row r="221">
      <c r="A221" s="218">
        <v>219.0</v>
      </c>
      <c r="B221" s="219" t="s">
        <v>875</v>
      </c>
      <c r="C221" s="61" t="s">
        <v>1171</v>
      </c>
      <c r="D221" s="61">
        <v>19.0</v>
      </c>
      <c r="E221" s="58" t="s">
        <v>626</v>
      </c>
      <c r="F221" s="59" t="s">
        <v>83</v>
      </c>
      <c r="G221" s="61">
        <v>45.0</v>
      </c>
      <c r="H221" s="61">
        <v>10.0</v>
      </c>
      <c r="I221" s="61">
        <v>10.0</v>
      </c>
      <c r="J221" s="61">
        <f t="shared" si="1"/>
        <v>20</v>
      </c>
      <c r="K221" s="65">
        <f t="shared" si="2"/>
        <v>0.4444444444</v>
      </c>
      <c r="L221" s="66">
        <v>986250.0</v>
      </c>
      <c r="M221" s="63"/>
      <c r="N221" s="63"/>
      <c r="O221" s="58">
        <v>45.0</v>
      </c>
      <c r="P221" s="177" t="s">
        <v>1176</v>
      </c>
      <c r="Q221" s="38"/>
      <c r="R221" s="70">
        <f t="shared" si="3"/>
        <v>25</v>
      </c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</row>
    <row r="222">
      <c r="A222" s="218">
        <v>220.0</v>
      </c>
      <c r="B222" s="219" t="s">
        <v>1179</v>
      </c>
      <c r="C222" s="61" t="s">
        <v>1171</v>
      </c>
      <c r="D222" s="61">
        <v>25.0</v>
      </c>
      <c r="E222" s="58" t="s">
        <v>123</v>
      </c>
      <c r="F222" s="59" t="s">
        <v>54</v>
      </c>
      <c r="G222" s="61">
        <v>70.0</v>
      </c>
      <c r="H222" s="61">
        <v>15.0</v>
      </c>
      <c r="I222" s="61">
        <v>16.0</v>
      </c>
      <c r="J222" s="61">
        <f t="shared" si="1"/>
        <v>31</v>
      </c>
      <c r="K222" s="65">
        <f t="shared" si="2"/>
        <v>0.4428571429</v>
      </c>
      <c r="L222" s="66">
        <v>2750000.0</v>
      </c>
      <c r="M222" s="178"/>
      <c r="N222" s="58" t="s">
        <v>77</v>
      </c>
      <c r="O222" s="58">
        <v>45.0</v>
      </c>
      <c r="P222" s="177" t="s">
        <v>1180</v>
      </c>
      <c r="Q222" s="38"/>
      <c r="R222" s="70">
        <f t="shared" si="3"/>
        <v>14</v>
      </c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</row>
    <row r="223">
      <c r="A223" s="218">
        <v>221.0</v>
      </c>
      <c r="B223" s="219" t="s">
        <v>1183</v>
      </c>
      <c r="C223" s="61" t="s">
        <v>1171</v>
      </c>
      <c r="D223" s="61">
        <v>23.0</v>
      </c>
      <c r="E223" s="63" t="s">
        <v>59</v>
      </c>
      <c r="F223" s="59" t="s">
        <v>109</v>
      </c>
      <c r="G223" s="61">
        <v>84.0</v>
      </c>
      <c r="H223" s="61">
        <v>20.0</v>
      </c>
      <c r="I223" s="61">
        <v>17.0</v>
      </c>
      <c r="J223" s="61">
        <f t="shared" si="1"/>
        <v>37</v>
      </c>
      <c r="K223" s="65">
        <f t="shared" si="2"/>
        <v>0.4404761905</v>
      </c>
      <c r="L223" s="66">
        <v>942500.0</v>
      </c>
      <c r="M223" s="63"/>
      <c r="N223" s="58" t="s">
        <v>77</v>
      </c>
      <c r="O223" s="58">
        <v>45.0</v>
      </c>
      <c r="P223" s="177" t="s">
        <v>1185</v>
      </c>
      <c r="Q223" s="38"/>
      <c r="R223" s="70">
        <f t="shared" si="3"/>
        <v>8</v>
      </c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</row>
    <row r="224">
      <c r="A224" s="218">
        <v>222.0</v>
      </c>
      <c r="B224" s="219" t="s">
        <v>964</v>
      </c>
      <c r="C224" s="61" t="s">
        <v>1171</v>
      </c>
      <c r="D224" s="61">
        <v>37.0</v>
      </c>
      <c r="E224" s="63" t="s">
        <v>59</v>
      </c>
      <c r="F224" s="59" t="s">
        <v>262</v>
      </c>
      <c r="G224" s="61">
        <v>84.0</v>
      </c>
      <c r="H224" s="61">
        <v>15.0</v>
      </c>
      <c r="I224" s="61">
        <v>22.0</v>
      </c>
      <c r="J224" s="61">
        <f t="shared" si="1"/>
        <v>37</v>
      </c>
      <c r="K224" s="65">
        <f t="shared" si="2"/>
        <v>0.4404761905</v>
      </c>
      <c r="L224" s="66">
        <v>3250000.0</v>
      </c>
      <c r="M224" s="63"/>
      <c r="N224" s="63"/>
      <c r="O224" s="58">
        <v>45.0</v>
      </c>
      <c r="P224" s="177" t="s">
        <v>1186</v>
      </c>
      <c r="Q224" s="38"/>
      <c r="R224" s="70">
        <f t="shared" si="3"/>
        <v>8</v>
      </c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</row>
    <row r="225">
      <c r="A225" s="218">
        <v>223.0</v>
      </c>
      <c r="B225" s="175" t="s">
        <v>1188</v>
      </c>
      <c r="C225" s="61" t="s">
        <v>1171</v>
      </c>
      <c r="D225" s="61">
        <v>23.0</v>
      </c>
      <c r="E225" s="58" t="s">
        <v>404</v>
      </c>
      <c r="F225" s="58" t="s">
        <v>269</v>
      </c>
      <c r="G225" s="58">
        <v>75.0</v>
      </c>
      <c r="H225" s="58">
        <v>13.0</v>
      </c>
      <c r="I225" s="58">
        <v>20.0</v>
      </c>
      <c r="J225" s="58">
        <f t="shared" si="1"/>
        <v>33</v>
      </c>
      <c r="K225" s="65">
        <f t="shared" si="2"/>
        <v>0.44</v>
      </c>
      <c r="L225" s="66">
        <v>3850000.0</v>
      </c>
      <c r="M225" s="63"/>
      <c r="N225" s="63"/>
      <c r="O225" s="58">
        <v>45.0</v>
      </c>
      <c r="P225" s="177" t="s">
        <v>1189</v>
      </c>
      <c r="Q225" s="38"/>
      <c r="R225" s="38">
        <f t="shared" si="3"/>
        <v>12</v>
      </c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</row>
    <row r="226">
      <c r="A226" s="218">
        <v>224.0</v>
      </c>
      <c r="B226" s="219" t="s">
        <v>1192</v>
      </c>
      <c r="C226" s="61" t="s">
        <v>1171</v>
      </c>
      <c r="D226" s="61">
        <v>33.0</v>
      </c>
      <c r="E226" s="58" t="s">
        <v>59</v>
      </c>
      <c r="F226" s="58" t="s">
        <v>109</v>
      </c>
      <c r="G226" s="58">
        <v>75.0</v>
      </c>
      <c r="H226" s="58">
        <v>10.0</v>
      </c>
      <c r="I226" s="58">
        <v>23.0</v>
      </c>
      <c r="J226" s="58">
        <f t="shared" si="1"/>
        <v>33</v>
      </c>
      <c r="K226" s="65">
        <f t="shared" si="2"/>
        <v>0.44</v>
      </c>
      <c r="L226" s="66">
        <v>7750000.0</v>
      </c>
      <c r="M226" s="58" t="s">
        <v>77</v>
      </c>
      <c r="N226" s="63"/>
      <c r="O226" s="58">
        <v>40.0</v>
      </c>
      <c r="P226" s="177" t="s">
        <v>1195</v>
      </c>
      <c r="Q226" s="38"/>
      <c r="R226" s="38">
        <f t="shared" si="3"/>
        <v>7</v>
      </c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</row>
    <row r="227">
      <c r="A227" s="218">
        <v>225.0</v>
      </c>
      <c r="B227" s="175" t="s">
        <v>1198</v>
      </c>
      <c r="C227" s="61" t="s">
        <v>1171</v>
      </c>
      <c r="D227" s="61">
        <v>22.0</v>
      </c>
      <c r="E227" s="58" t="s">
        <v>59</v>
      </c>
      <c r="F227" s="58" t="s">
        <v>170</v>
      </c>
      <c r="G227" s="58">
        <v>80.0</v>
      </c>
      <c r="H227" s="58">
        <v>15.0</v>
      </c>
      <c r="I227" s="58">
        <v>20.0</v>
      </c>
      <c r="J227" s="58">
        <f t="shared" si="1"/>
        <v>35</v>
      </c>
      <c r="K227" s="65">
        <f t="shared" si="2"/>
        <v>0.4375</v>
      </c>
      <c r="L227" s="66">
        <v>886666.0</v>
      </c>
      <c r="M227" s="63"/>
      <c r="N227" s="58" t="s">
        <v>77</v>
      </c>
      <c r="O227" s="58">
        <v>55.0</v>
      </c>
      <c r="P227" s="177" t="s">
        <v>1199</v>
      </c>
      <c r="Q227" s="38"/>
      <c r="R227" s="38">
        <f t="shared" si="3"/>
        <v>20</v>
      </c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</row>
    <row r="228">
      <c r="A228" s="218">
        <v>226.0</v>
      </c>
      <c r="B228" s="175" t="s">
        <v>1202</v>
      </c>
      <c r="C228" s="61" t="s">
        <v>1171</v>
      </c>
      <c r="D228" s="61">
        <v>23.0</v>
      </c>
      <c r="E228" s="58" t="s">
        <v>165</v>
      </c>
      <c r="F228" s="58" t="s">
        <v>185</v>
      </c>
      <c r="G228" s="61">
        <v>76.0</v>
      </c>
      <c r="H228" s="61">
        <v>16.0</v>
      </c>
      <c r="I228" s="61">
        <v>17.0</v>
      </c>
      <c r="J228" s="61">
        <f t="shared" si="1"/>
        <v>33</v>
      </c>
      <c r="K228" s="65">
        <f t="shared" si="2"/>
        <v>0.4342105263</v>
      </c>
      <c r="L228" s="66" t="s">
        <v>283</v>
      </c>
      <c r="M228" s="63"/>
      <c r="N228" s="58" t="s">
        <v>77</v>
      </c>
      <c r="O228" s="58">
        <v>50.0</v>
      </c>
      <c r="P228" s="177" t="s">
        <v>1204</v>
      </c>
      <c r="Q228" s="38"/>
      <c r="R228" s="70">
        <f t="shared" si="3"/>
        <v>17</v>
      </c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</row>
    <row r="229">
      <c r="A229" s="218">
        <v>227.0</v>
      </c>
      <c r="B229" s="175" t="s">
        <v>1205</v>
      </c>
      <c r="C229" s="61" t="s">
        <v>1171</v>
      </c>
      <c r="D229" s="61">
        <v>31.0</v>
      </c>
      <c r="E229" s="58" t="s">
        <v>123</v>
      </c>
      <c r="F229" s="58" t="s">
        <v>269</v>
      </c>
      <c r="G229" s="58">
        <v>76.0</v>
      </c>
      <c r="H229" s="58">
        <v>12.0</v>
      </c>
      <c r="I229" s="58">
        <v>21.0</v>
      </c>
      <c r="J229" s="58">
        <f t="shared" si="1"/>
        <v>33</v>
      </c>
      <c r="K229" s="65">
        <f t="shared" si="2"/>
        <v>0.4342105263</v>
      </c>
      <c r="L229" s="66">
        <v>5500000.0</v>
      </c>
      <c r="M229" s="63"/>
      <c r="N229" s="58" t="s">
        <v>77</v>
      </c>
      <c r="O229" s="58">
        <v>50.0</v>
      </c>
      <c r="P229" s="177" t="s">
        <v>1210</v>
      </c>
      <c r="Q229" s="76"/>
      <c r="R229" s="38">
        <f t="shared" si="3"/>
        <v>17</v>
      </c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</row>
    <row r="230">
      <c r="A230" s="218">
        <v>228.0</v>
      </c>
      <c r="B230" s="175" t="s">
        <v>1212</v>
      </c>
      <c r="C230" s="61" t="s">
        <v>1171</v>
      </c>
      <c r="D230" s="61">
        <v>20.0</v>
      </c>
      <c r="E230" s="58" t="s">
        <v>165</v>
      </c>
      <c r="F230" s="58" t="s">
        <v>122</v>
      </c>
      <c r="G230" s="58">
        <v>60.0</v>
      </c>
      <c r="H230" s="58">
        <v>13.0</v>
      </c>
      <c r="I230" s="58">
        <v>13.0</v>
      </c>
      <c r="J230" s="58">
        <f t="shared" si="1"/>
        <v>26</v>
      </c>
      <c r="K230" s="65">
        <f t="shared" si="2"/>
        <v>0.4333333333</v>
      </c>
      <c r="L230" s="66">
        <v>974167.0</v>
      </c>
      <c r="M230" s="63"/>
      <c r="N230" s="58" t="s">
        <v>77</v>
      </c>
      <c r="O230" s="58">
        <v>55.0</v>
      </c>
      <c r="P230" s="177" t="s">
        <v>1216</v>
      </c>
      <c r="Q230" s="76"/>
      <c r="R230" s="38">
        <f t="shared" si="3"/>
        <v>29</v>
      </c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</row>
    <row r="231">
      <c r="A231" s="218">
        <v>229.0</v>
      </c>
      <c r="B231" s="219" t="s">
        <v>1131</v>
      </c>
      <c r="C231" s="61" t="s">
        <v>1171</v>
      </c>
      <c r="D231" s="61">
        <v>22.0</v>
      </c>
      <c r="E231" s="63" t="s">
        <v>59</v>
      </c>
      <c r="F231" s="59" t="s">
        <v>114</v>
      </c>
      <c r="G231" s="61">
        <v>84.0</v>
      </c>
      <c r="H231" s="61">
        <v>18.0</v>
      </c>
      <c r="I231" s="61">
        <v>18.0</v>
      </c>
      <c r="J231" s="61">
        <f t="shared" si="1"/>
        <v>36</v>
      </c>
      <c r="K231" s="65">
        <f t="shared" si="2"/>
        <v>0.4285714286</v>
      </c>
      <c r="L231" s="66">
        <v>886666.0</v>
      </c>
      <c r="M231" s="178"/>
      <c r="N231" s="63"/>
      <c r="O231" s="58">
        <v>45.0</v>
      </c>
      <c r="P231" s="177" t="s">
        <v>1221</v>
      </c>
      <c r="Q231" s="38"/>
      <c r="R231" s="70">
        <f t="shared" si="3"/>
        <v>9</v>
      </c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</row>
    <row r="232">
      <c r="A232" s="218">
        <v>230.0</v>
      </c>
      <c r="B232" s="175" t="s">
        <v>1223</v>
      </c>
      <c r="C232" s="61" t="s">
        <v>1171</v>
      </c>
      <c r="D232" s="61">
        <v>24.0</v>
      </c>
      <c r="E232" s="58" t="s">
        <v>165</v>
      </c>
      <c r="F232" s="58" t="s">
        <v>96</v>
      </c>
      <c r="G232" s="58">
        <v>84.0</v>
      </c>
      <c r="H232" s="58">
        <v>15.0</v>
      </c>
      <c r="I232" s="58">
        <v>21.0</v>
      </c>
      <c r="J232" s="58">
        <f t="shared" si="1"/>
        <v>36</v>
      </c>
      <c r="K232" s="65">
        <f t="shared" si="2"/>
        <v>0.4285714286</v>
      </c>
      <c r="L232" s="66">
        <v>4250000.0</v>
      </c>
      <c r="M232" s="63"/>
      <c r="N232" s="63"/>
      <c r="O232" s="58">
        <v>50.0</v>
      </c>
      <c r="P232" s="177" t="s">
        <v>1225</v>
      </c>
      <c r="Q232" s="76"/>
      <c r="R232" s="38">
        <f t="shared" si="3"/>
        <v>14</v>
      </c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</row>
    <row r="233">
      <c r="A233" s="218">
        <v>231.0</v>
      </c>
      <c r="B233" s="219" t="s">
        <v>1022</v>
      </c>
      <c r="C233" s="61" t="s">
        <v>1171</v>
      </c>
      <c r="D233" s="61">
        <v>23.0</v>
      </c>
      <c r="E233" s="58" t="s">
        <v>165</v>
      </c>
      <c r="F233" s="59" t="s">
        <v>73</v>
      </c>
      <c r="G233" s="61">
        <v>80.0</v>
      </c>
      <c r="H233" s="61">
        <v>10.0</v>
      </c>
      <c r="I233" s="61">
        <v>24.0</v>
      </c>
      <c r="J233" s="61">
        <f t="shared" si="1"/>
        <v>34</v>
      </c>
      <c r="K233" s="65">
        <f t="shared" si="2"/>
        <v>0.425</v>
      </c>
      <c r="L233" s="66">
        <v>4625000.0</v>
      </c>
      <c r="M233" s="178"/>
      <c r="N233" s="178"/>
      <c r="O233" s="58">
        <v>40.0</v>
      </c>
      <c r="P233" s="177" t="s">
        <v>1229</v>
      </c>
      <c r="Q233" s="38"/>
      <c r="R233" s="70">
        <f t="shared" si="3"/>
        <v>6</v>
      </c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</row>
    <row r="234">
      <c r="A234" s="218">
        <v>232.0</v>
      </c>
      <c r="B234" s="175" t="s">
        <v>1232</v>
      </c>
      <c r="C234" s="61" t="s">
        <v>1171</v>
      </c>
      <c r="D234" s="61">
        <v>21.0</v>
      </c>
      <c r="E234" s="58" t="s">
        <v>386</v>
      </c>
      <c r="F234" s="58" t="s">
        <v>196</v>
      </c>
      <c r="G234" s="58">
        <v>76.0</v>
      </c>
      <c r="H234" s="58">
        <v>17.0</v>
      </c>
      <c r="I234" s="58">
        <v>15.0</v>
      </c>
      <c r="J234" s="58">
        <f t="shared" si="1"/>
        <v>32</v>
      </c>
      <c r="K234" s="65">
        <f t="shared" si="2"/>
        <v>0.4210526316</v>
      </c>
      <c r="L234" s="66">
        <v>950000.0</v>
      </c>
      <c r="M234" s="63"/>
      <c r="N234" s="63"/>
      <c r="O234" s="58">
        <v>45.0</v>
      </c>
      <c r="P234" s="177" t="s">
        <v>1236</v>
      </c>
      <c r="Q234" s="38"/>
      <c r="R234" s="38">
        <f t="shared" si="3"/>
        <v>13</v>
      </c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</row>
    <row r="235">
      <c r="A235" s="218">
        <v>233.0</v>
      </c>
      <c r="B235" s="219" t="s">
        <v>1234</v>
      </c>
      <c r="C235" s="61" t="s">
        <v>1171</v>
      </c>
      <c r="D235" s="61">
        <v>34.0</v>
      </c>
      <c r="E235" s="58" t="s">
        <v>333</v>
      </c>
      <c r="F235" s="59" t="s">
        <v>54</v>
      </c>
      <c r="G235" s="61">
        <v>76.0</v>
      </c>
      <c r="H235" s="61">
        <v>16.0</v>
      </c>
      <c r="I235" s="61">
        <v>16.0</v>
      </c>
      <c r="J235" s="61">
        <f t="shared" si="1"/>
        <v>32</v>
      </c>
      <c r="K235" s="65">
        <f t="shared" si="2"/>
        <v>0.4210526316</v>
      </c>
      <c r="L235" s="66">
        <v>4900000.0</v>
      </c>
      <c r="M235" s="178"/>
      <c r="N235" s="178"/>
      <c r="O235" s="58">
        <v>45.0</v>
      </c>
      <c r="P235" s="177" t="s">
        <v>1239</v>
      </c>
      <c r="Q235" s="38"/>
      <c r="R235" s="70">
        <f t="shared" si="3"/>
        <v>13</v>
      </c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</row>
    <row r="236">
      <c r="A236" s="218">
        <v>234.0</v>
      </c>
      <c r="B236" s="175" t="s">
        <v>1242</v>
      </c>
      <c r="C236" s="61" t="s">
        <v>1243</v>
      </c>
      <c r="D236" s="61">
        <v>22.0</v>
      </c>
      <c r="E236" s="58" t="s">
        <v>123</v>
      </c>
      <c r="F236" s="58" t="s">
        <v>225</v>
      </c>
      <c r="G236" s="58">
        <v>50.0</v>
      </c>
      <c r="H236" s="58">
        <v>10.0</v>
      </c>
      <c r="I236" s="58">
        <v>11.0</v>
      </c>
      <c r="J236" s="58">
        <f t="shared" si="1"/>
        <v>21</v>
      </c>
      <c r="K236" s="65">
        <f t="shared" si="2"/>
        <v>0.42</v>
      </c>
      <c r="L236" s="66">
        <v>941667.0</v>
      </c>
      <c r="M236" s="63"/>
      <c r="N236" s="58" t="s">
        <v>77</v>
      </c>
      <c r="O236" s="58">
        <v>40.0</v>
      </c>
      <c r="P236" s="177" t="s">
        <v>1245</v>
      </c>
      <c r="Q236" s="38"/>
      <c r="R236" s="38">
        <f t="shared" si="3"/>
        <v>19</v>
      </c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</row>
    <row r="237">
      <c r="A237" s="218">
        <v>235.0</v>
      </c>
      <c r="B237" s="175" t="s">
        <v>1247</v>
      </c>
      <c r="C237" s="61" t="s">
        <v>1171</v>
      </c>
      <c r="D237" s="61">
        <v>19.0</v>
      </c>
      <c r="E237" s="58" t="s">
        <v>123</v>
      </c>
      <c r="F237" s="58" t="s">
        <v>65</v>
      </c>
      <c r="G237" s="58">
        <v>60.0</v>
      </c>
      <c r="H237" s="58">
        <v>9.0</v>
      </c>
      <c r="I237" s="58">
        <v>16.0</v>
      </c>
      <c r="J237" s="58">
        <f t="shared" si="1"/>
        <v>25</v>
      </c>
      <c r="K237" s="65">
        <f t="shared" si="2"/>
        <v>0.4166666667</v>
      </c>
      <c r="L237" s="66">
        <v>974167.0</v>
      </c>
      <c r="M237" s="63"/>
      <c r="N237" s="58" t="s">
        <v>77</v>
      </c>
      <c r="O237" s="58">
        <v>45.0</v>
      </c>
      <c r="P237" s="177" t="s">
        <v>1249</v>
      </c>
      <c r="Q237" s="38"/>
      <c r="R237" s="38">
        <f t="shared" si="3"/>
        <v>20</v>
      </c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</row>
    <row r="238">
      <c r="A238" s="218">
        <v>236.0</v>
      </c>
      <c r="B238" s="219" t="s">
        <v>1226</v>
      </c>
      <c r="C238" s="61" t="s">
        <v>1171</v>
      </c>
      <c r="D238" s="61">
        <v>22.0</v>
      </c>
      <c r="E238" s="58" t="s">
        <v>212</v>
      </c>
      <c r="F238" s="59" t="s">
        <v>54</v>
      </c>
      <c r="G238" s="61">
        <v>84.0</v>
      </c>
      <c r="H238" s="61">
        <v>15.0</v>
      </c>
      <c r="I238" s="61">
        <v>20.0</v>
      </c>
      <c r="J238" s="61">
        <f t="shared" si="1"/>
        <v>35</v>
      </c>
      <c r="K238" s="65">
        <f t="shared" si="2"/>
        <v>0.4166666667</v>
      </c>
      <c r="L238" s="66">
        <v>2950000.0</v>
      </c>
      <c r="M238" s="178"/>
      <c r="N238" s="178"/>
      <c r="O238" s="58">
        <v>45.0</v>
      </c>
      <c r="P238" s="177" t="s">
        <v>1252</v>
      </c>
      <c r="Q238" s="76"/>
      <c r="R238" s="70">
        <f t="shared" si="3"/>
        <v>10</v>
      </c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</row>
    <row r="239">
      <c r="A239" s="218">
        <v>237.0</v>
      </c>
      <c r="B239" s="219" t="s">
        <v>836</v>
      </c>
      <c r="C239" s="61" t="s">
        <v>1171</v>
      </c>
      <c r="D239" s="61">
        <v>24.0</v>
      </c>
      <c r="E239" s="58" t="s">
        <v>404</v>
      </c>
      <c r="F239" s="59" t="s">
        <v>83</v>
      </c>
      <c r="G239" s="61">
        <v>84.0</v>
      </c>
      <c r="H239" s="61">
        <v>15.0</v>
      </c>
      <c r="I239" s="61">
        <v>20.0</v>
      </c>
      <c r="J239" s="61">
        <f t="shared" si="1"/>
        <v>35</v>
      </c>
      <c r="K239" s="65">
        <f t="shared" si="2"/>
        <v>0.4166666667</v>
      </c>
      <c r="L239" s="66" t="s">
        <v>283</v>
      </c>
      <c r="M239" s="63"/>
      <c r="N239" s="58" t="s">
        <v>77</v>
      </c>
      <c r="O239" s="58">
        <v>45.0</v>
      </c>
      <c r="P239" s="177" t="s">
        <v>1256</v>
      </c>
      <c r="Q239" s="76"/>
      <c r="R239" s="70">
        <f t="shared" si="3"/>
        <v>10</v>
      </c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</row>
    <row r="240">
      <c r="A240" s="218">
        <v>238.0</v>
      </c>
      <c r="B240" s="175" t="s">
        <v>1260</v>
      </c>
      <c r="C240" s="61" t="s">
        <v>1171</v>
      </c>
      <c r="D240" s="61">
        <v>18.0</v>
      </c>
      <c r="E240" s="58" t="s">
        <v>59</v>
      </c>
      <c r="F240" s="58" t="s">
        <v>71</v>
      </c>
      <c r="G240" s="58">
        <v>65.0</v>
      </c>
      <c r="H240" s="58">
        <v>9.0</v>
      </c>
      <c r="I240" s="58">
        <v>18.0</v>
      </c>
      <c r="J240" s="58">
        <f t="shared" si="1"/>
        <v>27</v>
      </c>
      <c r="K240" s="65">
        <f t="shared" si="2"/>
        <v>0.4153846154</v>
      </c>
      <c r="L240" s="66" t="s">
        <v>283</v>
      </c>
      <c r="M240" s="63"/>
      <c r="N240" s="58" t="s">
        <v>77</v>
      </c>
      <c r="O240" s="58">
        <v>50.0</v>
      </c>
      <c r="P240" s="177" t="s">
        <v>1262</v>
      </c>
      <c r="Q240" s="38"/>
      <c r="R240" s="38">
        <f t="shared" si="3"/>
        <v>23</v>
      </c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</row>
    <row r="241">
      <c r="A241" s="237">
        <v>239.0</v>
      </c>
      <c r="B241" s="175" t="s">
        <v>1263</v>
      </c>
      <c r="C241" s="61" t="s">
        <v>1171</v>
      </c>
      <c r="D241" s="61">
        <v>32.0</v>
      </c>
      <c r="E241" s="58" t="s">
        <v>59</v>
      </c>
      <c r="F241" s="58" t="s">
        <v>96</v>
      </c>
      <c r="G241" s="58">
        <v>82.0</v>
      </c>
      <c r="H241" s="58">
        <v>11.0</v>
      </c>
      <c r="I241" s="58">
        <v>23.0</v>
      </c>
      <c r="J241" s="58">
        <f t="shared" si="1"/>
        <v>34</v>
      </c>
      <c r="K241" s="65">
        <f t="shared" si="2"/>
        <v>0.4146341463</v>
      </c>
      <c r="L241" s="66">
        <v>6000000.0</v>
      </c>
      <c r="M241" s="63"/>
      <c r="N241" s="63"/>
      <c r="O241" s="58">
        <v>45.0</v>
      </c>
      <c r="P241" s="177" t="s">
        <v>1266</v>
      </c>
      <c r="Q241" s="238"/>
      <c r="R241" s="239">
        <f t="shared" si="3"/>
        <v>11</v>
      </c>
      <c r="S241" s="239"/>
      <c r="T241" s="239"/>
      <c r="U241" s="239"/>
      <c r="V241" s="239"/>
      <c r="X241" s="239"/>
      <c r="Y241" s="239"/>
      <c r="Z241" s="239"/>
      <c r="AA241" s="239"/>
      <c r="AB241" s="239"/>
      <c r="AC241" s="239"/>
      <c r="AD241" s="239"/>
    </row>
    <row r="242">
      <c r="A242" s="218">
        <v>240.0</v>
      </c>
      <c r="B242" s="240" t="s">
        <v>881</v>
      </c>
      <c r="C242" s="94" t="s">
        <v>1171</v>
      </c>
      <c r="D242" s="61">
        <v>25.0</v>
      </c>
      <c r="E242" s="58" t="s">
        <v>165</v>
      </c>
      <c r="F242" s="77" t="s">
        <v>98</v>
      </c>
      <c r="G242" s="61">
        <v>84.0</v>
      </c>
      <c r="H242" s="61">
        <v>12.0</v>
      </c>
      <c r="I242" s="61">
        <v>22.0</v>
      </c>
      <c r="J242" s="61">
        <f t="shared" si="1"/>
        <v>34</v>
      </c>
      <c r="K242" s="65">
        <f t="shared" si="2"/>
        <v>0.4047619048</v>
      </c>
      <c r="L242" s="66">
        <v>4500000.0</v>
      </c>
      <c r="M242" s="99"/>
      <c r="N242" s="77" t="s">
        <v>77</v>
      </c>
      <c r="O242" s="77">
        <v>55.0</v>
      </c>
      <c r="P242" s="177" t="s">
        <v>1271</v>
      </c>
      <c r="Q242" s="238"/>
      <c r="R242" s="241">
        <f t="shared" si="3"/>
        <v>21</v>
      </c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</row>
    <row r="243">
      <c r="A243" s="218">
        <v>241.0</v>
      </c>
      <c r="B243" s="175" t="s">
        <v>1273</v>
      </c>
      <c r="C243" s="61" t="s">
        <v>1171</v>
      </c>
      <c r="D243" s="61">
        <v>20.0</v>
      </c>
      <c r="E243" s="58" t="s">
        <v>165</v>
      </c>
      <c r="F243" s="58" t="s">
        <v>269</v>
      </c>
      <c r="G243" s="58">
        <v>70.0</v>
      </c>
      <c r="H243" s="58">
        <v>11.0</v>
      </c>
      <c r="I243" s="58">
        <v>17.0</v>
      </c>
      <c r="J243" s="58">
        <f t="shared" si="1"/>
        <v>28</v>
      </c>
      <c r="K243" s="65">
        <f t="shared" si="2"/>
        <v>0.4</v>
      </c>
      <c r="L243" s="66">
        <v>953750.0</v>
      </c>
      <c r="M243" s="178"/>
      <c r="N243" s="178"/>
      <c r="O243" s="58">
        <v>40.0</v>
      </c>
      <c r="P243" s="177" t="s">
        <v>1276</v>
      </c>
      <c r="Q243" s="239"/>
      <c r="R243" s="239">
        <f t="shared" si="3"/>
        <v>12</v>
      </c>
      <c r="S243" s="239"/>
      <c r="T243" s="239"/>
      <c r="U243" s="239"/>
      <c r="V243" s="239"/>
      <c r="W243" s="239"/>
      <c r="X243" s="239"/>
      <c r="Y243" s="239"/>
      <c r="Z243" s="239"/>
      <c r="AA243" s="239"/>
      <c r="AB243" s="239"/>
      <c r="AC243" s="239"/>
      <c r="AD243" s="239"/>
    </row>
    <row r="244">
      <c r="A244" s="218">
        <v>242.0</v>
      </c>
      <c r="B244" s="175" t="s">
        <v>1278</v>
      </c>
      <c r="C244" s="61" t="s">
        <v>1171</v>
      </c>
      <c r="D244" s="61">
        <v>21.0</v>
      </c>
      <c r="E244" s="58" t="s">
        <v>165</v>
      </c>
      <c r="F244" s="58" t="s">
        <v>235</v>
      </c>
      <c r="G244" s="58">
        <v>10.0</v>
      </c>
      <c r="H244" s="58">
        <v>2.0</v>
      </c>
      <c r="I244" s="58">
        <v>2.0</v>
      </c>
      <c r="J244" s="58">
        <f t="shared" si="1"/>
        <v>4</v>
      </c>
      <c r="K244" s="65">
        <f t="shared" si="2"/>
        <v>0.4</v>
      </c>
      <c r="L244" s="66">
        <v>889166.0</v>
      </c>
      <c r="M244" s="63"/>
      <c r="N244" s="58" t="s">
        <v>77</v>
      </c>
      <c r="O244" s="58">
        <v>55.0</v>
      </c>
      <c r="P244" s="242" t="s">
        <v>1280</v>
      </c>
      <c r="Q244" s="238"/>
      <c r="R244" s="239">
        <f t="shared" si="3"/>
        <v>51</v>
      </c>
      <c r="S244" s="239"/>
      <c r="T244" s="239"/>
      <c r="U244" s="239"/>
      <c r="V244" s="239"/>
      <c r="W244" s="239"/>
      <c r="X244" s="239"/>
      <c r="Y244" s="239"/>
      <c r="Z244" s="239"/>
      <c r="AA244" s="239"/>
      <c r="AB244" s="239"/>
      <c r="AC244" s="239"/>
      <c r="AD244" s="239"/>
    </row>
    <row r="245">
      <c r="A245" s="218">
        <v>243.0</v>
      </c>
      <c r="B245" s="219" t="s">
        <v>1053</v>
      </c>
      <c r="C245" s="61" t="s">
        <v>1171</v>
      </c>
      <c r="D245" s="61">
        <v>26.0</v>
      </c>
      <c r="E245" s="58" t="s">
        <v>165</v>
      </c>
      <c r="F245" s="58" t="s">
        <v>1283</v>
      </c>
      <c r="G245" s="61">
        <v>65.0</v>
      </c>
      <c r="H245" s="61">
        <v>12.0</v>
      </c>
      <c r="I245" s="61">
        <v>14.0</v>
      </c>
      <c r="J245" s="61">
        <f t="shared" si="1"/>
        <v>26</v>
      </c>
      <c r="K245" s="65">
        <f t="shared" si="2"/>
        <v>0.4</v>
      </c>
      <c r="L245" s="66">
        <v>4175000.0</v>
      </c>
      <c r="M245" s="63"/>
      <c r="N245" s="58" t="s">
        <v>77</v>
      </c>
      <c r="O245" s="58">
        <v>40.0</v>
      </c>
      <c r="P245" s="177" t="s">
        <v>1285</v>
      </c>
      <c r="Q245" s="239"/>
      <c r="R245" s="241">
        <f t="shared" si="3"/>
        <v>14</v>
      </c>
      <c r="S245" s="239"/>
      <c r="T245" s="239"/>
      <c r="U245" s="239"/>
      <c r="V245" s="239"/>
      <c r="W245" s="239"/>
      <c r="X245" s="239"/>
      <c r="Y245" s="239"/>
      <c r="Z245" s="239"/>
      <c r="AA245" s="239"/>
      <c r="AB245" s="239"/>
      <c r="AC245" s="239"/>
      <c r="AD245" s="239"/>
    </row>
    <row r="246">
      <c r="A246" s="218">
        <v>244.0</v>
      </c>
      <c r="B246" s="219" t="s">
        <v>1016</v>
      </c>
      <c r="C246" s="61" t="s">
        <v>1171</v>
      </c>
      <c r="D246" s="61">
        <v>32.0</v>
      </c>
      <c r="E246" s="58" t="s">
        <v>404</v>
      </c>
      <c r="F246" s="58" t="s">
        <v>225</v>
      </c>
      <c r="G246" s="61">
        <v>80.0</v>
      </c>
      <c r="H246" s="61">
        <v>12.0</v>
      </c>
      <c r="I246" s="61">
        <v>20.0</v>
      </c>
      <c r="J246" s="61">
        <f t="shared" si="1"/>
        <v>32</v>
      </c>
      <c r="K246" s="65">
        <f t="shared" si="2"/>
        <v>0.4</v>
      </c>
      <c r="L246" s="66">
        <v>5400000.0</v>
      </c>
      <c r="M246" s="178"/>
      <c r="N246" s="58" t="s">
        <v>77</v>
      </c>
      <c r="O246" s="58">
        <v>60.0</v>
      </c>
      <c r="P246" s="177" t="s">
        <v>1287</v>
      </c>
      <c r="Q246" s="239"/>
      <c r="R246" s="241">
        <f t="shared" si="3"/>
        <v>28</v>
      </c>
      <c r="S246" s="239"/>
      <c r="T246" s="239"/>
      <c r="U246" s="239"/>
      <c r="V246" s="239"/>
      <c r="W246" s="239"/>
      <c r="X246" s="239"/>
      <c r="Y246" s="239"/>
      <c r="Z246" s="239"/>
      <c r="AA246" s="239"/>
      <c r="AB246" s="239"/>
      <c r="AC246" s="239"/>
      <c r="AD246" s="239"/>
    </row>
    <row r="247">
      <c r="A247" s="218">
        <v>245.0</v>
      </c>
      <c r="B247" s="219" t="s">
        <v>903</v>
      </c>
      <c r="C247" s="61" t="s">
        <v>1171</v>
      </c>
      <c r="D247" s="61">
        <v>22.0</v>
      </c>
      <c r="E247" s="58" t="s">
        <v>626</v>
      </c>
      <c r="F247" s="58" t="s">
        <v>98</v>
      </c>
      <c r="G247" s="61">
        <v>84.0</v>
      </c>
      <c r="H247" s="61">
        <v>11.0</v>
      </c>
      <c r="I247" s="61">
        <v>22.0</v>
      </c>
      <c r="J247" s="61">
        <f t="shared" si="1"/>
        <v>33</v>
      </c>
      <c r="K247" s="65">
        <f t="shared" si="2"/>
        <v>0.3928571429</v>
      </c>
      <c r="L247" s="66">
        <v>886666.0</v>
      </c>
      <c r="M247" s="178"/>
      <c r="N247" s="63"/>
      <c r="O247" s="58">
        <v>45.0</v>
      </c>
      <c r="P247" s="177" t="s">
        <v>1289</v>
      </c>
      <c r="Q247" s="239"/>
      <c r="R247" s="241">
        <f t="shared" si="3"/>
        <v>12</v>
      </c>
      <c r="S247" s="239"/>
      <c r="T247" s="239"/>
      <c r="U247" s="239"/>
      <c r="V247" s="239"/>
      <c r="W247" s="239"/>
      <c r="X247" s="239"/>
      <c r="Y247" s="239"/>
      <c r="Z247" s="239"/>
      <c r="AA247" s="239"/>
      <c r="AB247" s="239"/>
      <c r="AC247" s="239"/>
      <c r="AD247" s="239"/>
    </row>
    <row r="248">
      <c r="A248" s="218">
        <v>246.0</v>
      </c>
      <c r="B248" s="175" t="s">
        <v>1292</v>
      </c>
      <c r="C248" s="61" t="s">
        <v>1171</v>
      </c>
      <c r="D248" s="61">
        <v>21.0</v>
      </c>
      <c r="E248" s="58" t="s">
        <v>333</v>
      </c>
      <c r="F248" s="58" t="s">
        <v>57</v>
      </c>
      <c r="G248" s="58">
        <v>65.0</v>
      </c>
      <c r="H248" s="58">
        <v>10.0</v>
      </c>
      <c r="I248" s="58">
        <v>15.0</v>
      </c>
      <c r="J248" s="58">
        <f t="shared" si="1"/>
        <v>25</v>
      </c>
      <c r="K248" s="65">
        <f t="shared" si="2"/>
        <v>0.3846153846</v>
      </c>
      <c r="L248" s="66">
        <v>972500.0</v>
      </c>
      <c r="M248" s="178"/>
      <c r="N248" s="58" t="s">
        <v>77</v>
      </c>
      <c r="O248" s="58">
        <v>45.0</v>
      </c>
      <c r="P248" s="177" t="s">
        <v>1293</v>
      </c>
      <c r="Q248" s="239"/>
      <c r="R248" s="239">
        <f t="shared" si="3"/>
        <v>20</v>
      </c>
      <c r="S248" s="239"/>
      <c r="T248" s="239"/>
      <c r="U248" s="239"/>
      <c r="V248" s="239"/>
      <c r="W248" s="239"/>
      <c r="X248" s="239"/>
      <c r="Y248" s="239"/>
      <c r="Z248" s="239"/>
      <c r="AA248" s="239"/>
      <c r="AB248" s="239"/>
      <c r="AC248" s="239"/>
      <c r="AD248" s="239"/>
    </row>
    <row r="249">
      <c r="A249" s="218">
        <v>247.0</v>
      </c>
      <c r="B249" s="175" t="s">
        <v>1296</v>
      </c>
      <c r="C249" s="61" t="s">
        <v>1171</v>
      </c>
      <c r="D249" s="61">
        <v>20.0</v>
      </c>
      <c r="E249" s="58" t="s">
        <v>165</v>
      </c>
      <c r="F249" s="58" t="s">
        <v>65</v>
      </c>
      <c r="G249" s="58">
        <v>21.0</v>
      </c>
      <c r="H249" s="58">
        <v>6.0</v>
      </c>
      <c r="I249" s="58">
        <v>2.0</v>
      </c>
      <c r="J249" s="58">
        <f t="shared" si="1"/>
        <v>8</v>
      </c>
      <c r="K249" s="65">
        <f t="shared" si="2"/>
        <v>0.380952381</v>
      </c>
      <c r="L249" s="66">
        <v>1075000.0</v>
      </c>
      <c r="M249" s="63"/>
      <c r="N249" s="58" t="s">
        <v>77</v>
      </c>
      <c r="O249" s="58">
        <v>45.0</v>
      </c>
      <c r="P249" s="177" t="s">
        <v>1299</v>
      </c>
      <c r="Q249" s="239"/>
      <c r="R249" s="239">
        <f t="shared" si="3"/>
        <v>37</v>
      </c>
      <c r="S249" s="239"/>
      <c r="T249" s="239"/>
      <c r="U249" s="239"/>
      <c r="V249" s="239"/>
      <c r="W249" s="239"/>
      <c r="X249" s="239"/>
      <c r="Y249" s="239"/>
      <c r="Z249" s="239"/>
      <c r="AA249" s="239"/>
      <c r="AB249" s="239"/>
      <c r="AC249" s="239"/>
      <c r="AD249" s="239"/>
    </row>
    <row r="250">
      <c r="A250" s="218">
        <v>248.0</v>
      </c>
      <c r="B250" s="219" t="s">
        <v>1019</v>
      </c>
      <c r="C250" s="61" t="s">
        <v>1171</v>
      </c>
      <c r="D250" s="61">
        <v>20.0</v>
      </c>
      <c r="E250" s="63" t="s">
        <v>59</v>
      </c>
      <c r="F250" s="59" t="s">
        <v>225</v>
      </c>
      <c r="G250" s="61">
        <v>42.0</v>
      </c>
      <c r="H250" s="61">
        <v>6.0</v>
      </c>
      <c r="I250" s="61">
        <v>10.0</v>
      </c>
      <c r="J250" s="61">
        <f t="shared" si="1"/>
        <v>16</v>
      </c>
      <c r="K250" s="65">
        <f t="shared" si="2"/>
        <v>0.380952381</v>
      </c>
      <c r="L250" s="66">
        <v>977917.0</v>
      </c>
      <c r="M250" s="63"/>
      <c r="N250" s="63"/>
      <c r="O250" s="58">
        <v>40.0</v>
      </c>
      <c r="P250" s="177" t="s">
        <v>1303</v>
      </c>
      <c r="Q250" s="239"/>
      <c r="R250" s="241">
        <f t="shared" si="3"/>
        <v>24</v>
      </c>
      <c r="S250" s="239"/>
      <c r="T250" s="239"/>
      <c r="U250" s="239"/>
      <c r="V250" s="239"/>
      <c r="W250" s="239"/>
      <c r="X250" s="239"/>
      <c r="Y250" s="239"/>
      <c r="Z250" s="239"/>
      <c r="AA250" s="239"/>
      <c r="AB250" s="239"/>
      <c r="AC250" s="239"/>
      <c r="AD250" s="239"/>
    </row>
    <row r="251">
      <c r="A251" s="218">
        <v>249.0</v>
      </c>
      <c r="B251" s="219" t="s">
        <v>989</v>
      </c>
      <c r="C251" s="61" t="s">
        <v>1171</v>
      </c>
      <c r="D251" s="61">
        <v>22.0</v>
      </c>
      <c r="E251" s="58" t="s">
        <v>600</v>
      </c>
      <c r="F251" s="59" t="s">
        <v>225</v>
      </c>
      <c r="G251" s="61">
        <v>84.0</v>
      </c>
      <c r="H251" s="61">
        <v>13.0</v>
      </c>
      <c r="I251" s="61">
        <v>19.0</v>
      </c>
      <c r="J251" s="61">
        <f t="shared" si="1"/>
        <v>32</v>
      </c>
      <c r="K251" s="65">
        <f t="shared" si="2"/>
        <v>0.380952381</v>
      </c>
      <c r="L251" s="66">
        <v>950000.0</v>
      </c>
      <c r="M251" s="178"/>
      <c r="N251" s="63"/>
      <c r="O251" s="58">
        <v>35.0</v>
      </c>
      <c r="P251" s="177" t="s">
        <v>1307</v>
      </c>
      <c r="Q251" s="239"/>
      <c r="R251" s="241">
        <f t="shared" si="3"/>
        <v>3</v>
      </c>
      <c r="S251" s="239"/>
      <c r="T251" s="239"/>
      <c r="U251" s="239"/>
      <c r="V251" s="239"/>
      <c r="W251" s="239"/>
      <c r="X251" s="239"/>
      <c r="Y251" s="239"/>
      <c r="Z251" s="239"/>
      <c r="AA251" s="239"/>
      <c r="AB251" s="239"/>
      <c r="AC251" s="239"/>
      <c r="AD251" s="239"/>
    </row>
    <row r="252">
      <c r="A252" s="218">
        <v>250.0</v>
      </c>
      <c r="B252" s="219" t="s">
        <v>1012</v>
      </c>
      <c r="C252" s="61" t="s">
        <v>1171</v>
      </c>
      <c r="D252" s="61">
        <v>30.0</v>
      </c>
      <c r="E252" s="58" t="s">
        <v>165</v>
      </c>
      <c r="F252" s="59" t="s">
        <v>225</v>
      </c>
      <c r="G252" s="61">
        <v>84.0</v>
      </c>
      <c r="H252" s="61">
        <v>16.0</v>
      </c>
      <c r="I252" s="61">
        <v>16.0</v>
      </c>
      <c r="J252" s="61">
        <f t="shared" si="1"/>
        <v>32</v>
      </c>
      <c r="K252" s="65">
        <f t="shared" si="2"/>
        <v>0.380952381</v>
      </c>
      <c r="L252" s="66">
        <v>4000000.0</v>
      </c>
      <c r="M252" s="178"/>
      <c r="N252" s="63"/>
      <c r="O252" s="58">
        <v>40.0</v>
      </c>
      <c r="P252" s="177" t="s">
        <v>1309</v>
      </c>
      <c r="Q252" s="239"/>
      <c r="R252" s="241">
        <f t="shared" si="3"/>
        <v>8</v>
      </c>
      <c r="S252" s="239"/>
      <c r="T252" s="239"/>
      <c r="U252" s="239"/>
      <c r="V252" s="239"/>
      <c r="W252" s="239"/>
      <c r="X252" s="239"/>
      <c r="Y252" s="239"/>
      <c r="Z252" s="239"/>
      <c r="AA252" s="239"/>
      <c r="AB252" s="239"/>
      <c r="AC252" s="239"/>
      <c r="AD252" s="239"/>
    </row>
    <row r="253">
      <c r="A253" s="218">
        <v>251.0</v>
      </c>
      <c r="B253" s="175" t="s">
        <v>1312</v>
      </c>
      <c r="C253" s="61" t="s">
        <v>1171</v>
      </c>
      <c r="D253" s="61">
        <v>20.0</v>
      </c>
      <c r="E253" s="58" t="s">
        <v>59</v>
      </c>
      <c r="F253" s="58" t="s">
        <v>57</v>
      </c>
      <c r="G253" s="58">
        <v>24.0</v>
      </c>
      <c r="H253" s="58">
        <v>4.0</v>
      </c>
      <c r="I253" s="58">
        <v>5.0</v>
      </c>
      <c r="J253" s="58">
        <f t="shared" si="1"/>
        <v>9</v>
      </c>
      <c r="K253" s="65">
        <f t="shared" si="2"/>
        <v>0.375</v>
      </c>
      <c r="L253" s="66">
        <v>941667.0</v>
      </c>
      <c r="M253" s="178"/>
      <c r="N253" s="63"/>
      <c r="O253" s="58">
        <v>40.0</v>
      </c>
      <c r="P253" s="177" t="s">
        <v>1316</v>
      </c>
      <c r="Q253" s="239"/>
      <c r="R253" s="239">
        <f t="shared" si="3"/>
        <v>31</v>
      </c>
      <c r="S253" s="239"/>
      <c r="T253" s="239"/>
      <c r="U253" s="239"/>
      <c r="V253" s="239"/>
      <c r="W253" s="239"/>
      <c r="X253" s="239"/>
      <c r="Y253" s="239"/>
      <c r="Z253" s="239"/>
      <c r="AA253" s="239"/>
      <c r="AB253" s="239"/>
      <c r="AC253" s="239"/>
      <c r="AD253" s="239"/>
    </row>
    <row r="254">
      <c r="A254" s="218">
        <v>252.0</v>
      </c>
      <c r="B254" s="59" t="s">
        <v>922</v>
      </c>
      <c r="C254" s="61" t="s">
        <v>1171</v>
      </c>
      <c r="D254" s="61">
        <v>22.0</v>
      </c>
      <c r="E254" s="58" t="s">
        <v>600</v>
      </c>
      <c r="F254" s="59" t="s">
        <v>98</v>
      </c>
      <c r="G254" s="61">
        <v>24.0</v>
      </c>
      <c r="H254" s="61">
        <v>4.0</v>
      </c>
      <c r="I254" s="61">
        <v>5.0</v>
      </c>
      <c r="J254" s="61">
        <f t="shared" si="1"/>
        <v>9</v>
      </c>
      <c r="K254" s="65">
        <f t="shared" si="2"/>
        <v>0.375</v>
      </c>
      <c r="L254" s="66">
        <v>886666.0</v>
      </c>
      <c r="M254" s="63"/>
      <c r="N254" s="58" t="s">
        <v>77</v>
      </c>
      <c r="O254" s="58">
        <v>40.0</v>
      </c>
      <c r="P254" s="58" t="s">
        <v>1319</v>
      </c>
      <c r="Q254" s="239"/>
      <c r="R254" s="241">
        <f t="shared" si="3"/>
        <v>31</v>
      </c>
      <c r="S254" s="239"/>
      <c r="T254" s="239"/>
      <c r="U254" s="239"/>
      <c r="V254" s="239"/>
      <c r="W254" s="239"/>
      <c r="X254" s="239"/>
      <c r="Y254" s="239"/>
      <c r="Z254" s="239"/>
      <c r="AA254" s="239"/>
      <c r="AB254" s="239"/>
      <c r="AC254" s="239"/>
      <c r="AD254" s="239"/>
    </row>
    <row r="255">
      <c r="A255" s="218">
        <v>253.0</v>
      </c>
      <c r="B255" s="58" t="s">
        <v>1321</v>
      </c>
      <c r="C255" s="61" t="s">
        <v>1171</v>
      </c>
      <c r="D255" s="61">
        <v>22.0</v>
      </c>
      <c r="E255" s="58" t="s">
        <v>165</v>
      </c>
      <c r="F255" s="58" t="s">
        <v>228</v>
      </c>
      <c r="G255" s="58">
        <v>65.0</v>
      </c>
      <c r="H255" s="58">
        <v>10.0</v>
      </c>
      <c r="I255" s="58">
        <v>14.0</v>
      </c>
      <c r="J255" s="58">
        <f t="shared" si="1"/>
        <v>24</v>
      </c>
      <c r="K255" s="65">
        <f t="shared" si="2"/>
        <v>0.3692307692</v>
      </c>
      <c r="L255" s="66">
        <v>950000.0</v>
      </c>
      <c r="M255" s="178"/>
      <c r="N255" s="178"/>
      <c r="O255" s="58">
        <v>35.0</v>
      </c>
      <c r="P255" s="58" t="s">
        <v>1323</v>
      </c>
      <c r="Q255" s="239"/>
      <c r="R255" s="239">
        <f t="shared" si="3"/>
        <v>11</v>
      </c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C255" s="239"/>
      <c r="AD255" s="239"/>
    </row>
    <row r="256">
      <c r="A256" s="218">
        <v>254.0</v>
      </c>
      <c r="B256" s="58" t="s">
        <v>1325</v>
      </c>
      <c r="C256" s="61" t="s">
        <v>1171</v>
      </c>
      <c r="D256" s="61">
        <v>21.0</v>
      </c>
      <c r="E256" s="58" t="s">
        <v>59</v>
      </c>
      <c r="F256" s="58" t="s">
        <v>145</v>
      </c>
      <c r="G256" s="58">
        <v>84.0</v>
      </c>
      <c r="H256" s="58">
        <v>15.0</v>
      </c>
      <c r="I256" s="58">
        <v>15.0</v>
      </c>
      <c r="J256" s="58">
        <f t="shared" si="1"/>
        <v>30</v>
      </c>
      <c r="K256" s="65">
        <f t="shared" si="2"/>
        <v>0.3571428571</v>
      </c>
      <c r="L256" s="66">
        <v>909166.0</v>
      </c>
      <c r="M256" s="63"/>
      <c r="N256" s="58" t="s">
        <v>77</v>
      </c>
      <c r="O256" s="58">
        <v>40.0</v>
      </c>
      <c r="P256" s="58" t="s">
        <v>1327</v>
      </c>
      <c r="Q256" s="239"/>
      <c r="R256" s="239">
        <f t="shared" si="3"/>
        <v>10</v>
      </c>
      <c r="S256" s="239"/>
      <c r="T256" s="239"/>
      <c r="U256" s="239"/>
      <c r="V256" s="239"/>
      <c r="W256" s="239"/>
      <c r="X256" s="239"/>
      <c r="Y256" s="239"/>
      <c r="Z256" s="239"/>
      <c r="AA256" s="239"/>
      <c r="AB256" s="239"/>
      <c r="AC256" s="239"/>
      <c r="AD256" s="239"/>
    </row>
    <row r="257">
      <c r="A257" s="218">
        <v>255.0</v>
      </c>
      <c r="B257" s="58" t="s">
        <v>1317</v>
      </c>
      <c r="C257" s="61" t="s">
        <v>1171</v>
      </c>
      <c r="D257" s="61">
        <v>24.0</v>
      </c>
      <c r="E257" s="58" t="s">
        <v>123</v>
      </c>
      <c r="F257" s="58" t="s">
        <v>65</v>
      </c>
      <c r="G257" s="58">
        <v>84.0</v>
      </c>
      <c r="H257" s="58">
        <v>20.0</v>
      </c>
      <c r="I257" s="58">
        <v>10.0</v>
      </c>
      <c r="J257" s="58">
        <f t="shared" si="1"/>
        <v>30</v>
      </c>
      <c r="K257" s="65">
        <f t="shared" si="2"/>
        <v>0.3571428571</v>
      </c>
      <c r="L257" s="66">
        <v>1100000.0</v>
      </c>
      <c r="M257" s="63"/>
      <c r="N257" s="63"/>
      <c r="O257" s="58">
        <v>40.0</v>
      </c>
      <c r="P257" s="58" t="s">
        <v>1330</v>
      </c>
      <c r="Q257" s="239"/>
      <c r="R257" s="239">
        <f t="shared" si="3"/>
        <v>10</v>
      </c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</row>
    <row r="258">
      <c r="A258" s="218">
        <v>256.0</v>
      </c>
      <c r="B258" s="59" t="s">
        <v>1182</v>
      </c>
      <c r="C258" s="61" t="s">
        <v>1171</v>
      </c>
      <c r="D258" s="61">
        <v>28.0</v>
      </c>
      <c r="E258" s="58" t="s">
        <v>626</v>
      </c>
      <c r="F258" s="59" t="s">
        <v>181</v>
      </c>
      <c r="G258" s="61">
        <v>78.0</v>
      </c>
      <c r="H258" s="61">
        <v>10.0</v>
      </c>
      <c r="I258" s="61">
        <v>16.0</v>
      </c>
      <c r="J258" s="61">
        <f t="shared" si="1"/>
        <v>26</v>
      </c>
      <c r="K258" s="65">
        <f t="shared" si="2"/>
        <v>0.3333333333</v>
      </c>
      <c r="L258" s="66">
        <v>3000000.0</v>
      </c>
      <c r="M258" s="63"/>
      <c r="N258" s="63"/>
      <c r="O258" s="58">
        <v>40.0</v>
      </c>
      <c r="P258" s="58" t="s">
        <v>1335</v>
      </c>
      <c r="Q258" s="239"/>
      <c r="R258" s="241">
        <f t="shared" si="3"/>
        <v>14</v>
      </c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  <c r="AC258" s="239"/>
      <c r="AD258" s="239"/>
    </row>
    <row r="259">
      <c r="A259" s="218">
        <v>257.0</v>
      </c>
      <c r="B259" s="58" t="s">
        <v>1336</v>
      </c>
      <c r="C259" s="61" t="s">
        <v>1243</v>
      </c>
      <c r="D259" s="61">
        <v>19.0</v>
      </c>
      <c r="E259" s="58" t="s">
        <v>59</v>
      </c>
      <c r="F259" s="58" t="s">
        <v>57</v>
      </c>
      <c r="G259" s="58">
        <v>9.0</v>
      </c>
      <c r="H259" s="58">
        <v>1.0</v>
      </c>
      <c r="I259" s="58">
        <v>2.0</v>
      </c>
      <c r="J259" s="58">
        <f t="shared" si="1"/>
        <v>3</v>
      </c>
      <c r="K259" s="65">
        <f t="shared" si="2"/>
        <v>0.3333333333</v>
      </c>
      <c r="L259" s="66">
        <v>1075000.0</v>
      </c>
      <c r="M259" s="178"/>
      <c r="N259" s="63"/>
      <c r="O259" s="58">
        <v>35.0</v>
      </c>
      <c r="P259" s="58" t="s">
        <v>1316</v>
      </c>
      <c r="Q259" s="239"/>
      <c r="R259" s="239">
        <f t="shared" si="3"/>
        <v>32</v>
      </c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</row>
    <row r="260">
      <c r="A260" s="218">
        <v>258.0</v>
      </c>
      <c r="B260" s="58" t="s">
        <v>1341</v>
      </c>
      <c r="C260" s="61" t="s">
        <v>1243</v>
      </c>
      <c r="D260" s="61">
        <v>22.0</v>
      </c>
      <c r="E260" s="58" t="s">
        <v>59</v>
      </c>
      <c r="F260" s="58" t="s">
        <v>124</v>
      </c>
      <c r="G260" s="58">
        <v>30.0</v>
      </c>
      <c r="H260" s="58">
        <v>5.0</v>
      </c>
      <c r="I260" s="58">
        <v>5.0</v>
      </c>
      <c r="J260" s="58">
        <f t="shared" si="1"/>
        <v>10</v>
      </c>
      <c r="K260" s="65">
        <f t="shared" si="2"/>
        <v>0.3333333333</v>
      </c>
      <c r="L260" s="66">
        <v>886666.0</v>
      </c>
      <c r="M260" s="63"/>
      <c r="N260" s="58" t="s">
        <v>77</v>
      </c>
      <c r="O260" s="58">
        <v>35.0</v>
      </c>
      <c r="P260" s="58" t="s">
        <v>1344</v>
      </c>
      <c r="Q260" s="239"/>
      <c r="R260" s="239">
        <f t="shared" si="3"/>
        <v>25</v>
      </c>
      <c r="S260" s="239"/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</row>
    <row r="261">
      <c r="A261" s="218">
        <v>259.0</v>
      </c>
      <c r="B261" s="58" t="s">
        <v>1346</v>
      </c>
      <c r="C261" s="61" t="s">
        <v>1243</v>
      </c>
      <c r="D261" s="61">
        <v>22.0</v>
      </c>
      <c r="E261" s="58" t="s">
        <v>165</v>
      </c>
      <c r="F261" s="58" t="s">
        <v>269</v>
      </c>
      <c r="G261" s="58">
        <v>40.0</v>
      </c>
      <c r="H261" s="58">
        <v>6.0</v>
      </c>
      <c r="I261" s="58">
        <v>6.0</v>
      </c>
      <c r="J261" s="58">
        <f t="shared" si="1"/>
        <v>12</v>
      </c>
      <c r="K261" s="65">
        <f t="shared" si="2"/>
        <v>0.3</v>
      </c>
      <c r="L261" s="66">
        <v>891666.0</v>
      </c>
      <c r="M261" s="63"/>
      <c r="N261" s="58" t="s">
        <v>77</v>
      </c>
      <c r="O261" s="58">
        <v>45.0</v>
      </c>
      <c r="P261" s="58" t="s">
        <v>1348</v>
      </c>
      <c r="Q261" s="239"/>
      <c r="R261" s="239">
        <f t="shared" si="3"/>
        <v>33</v>
      </c>
      <c r="S261" s="239"/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</row>
    <row r="262">
      <c r="A262" s="218">
        <v>260.0</v>
      </c>
      <c r="B262" s="58" t="s">
        <v>1350</v>
      </c>
      <c r="C262" s="61" t="s">
        <v>1243</v>
      </c>
      <c r="D262" s="61">
        <v>19.0</v>
      </c>
      <c r="E262" s="58" t="s">
        <v>59</v>
      </c>
      <c r="F262" s="58" t="s">
        <v>729</v>
      </c>
      <c r="G262" s="58">
        <v>72.0</v>
      </c>
      <c r="H262" s="58">
        <v>7.0</v>
      </c>
      <c r="I262" s="58">
        <v>14.0</v>
      </c>
      <c r="J262" s="58">
        <f t="shared" si="1"/>
        <v>21</v>
      </c>
      <c r="K262" s="65">
        <f t="shared" si="2"/>
        <v>0.2916666667</v>
      </c>
      <c r="L262" s="66">
        <v>974167.0</v>
      </c>
      <c r="M262" s="63"/>
      <c r="N262" s="63"/>
      <c r="O262" s="58">
        <v>40.0</v>
      </c>
      <c r="P262" s="58" t="s">
        <v>1354</v>
      </c>
      <c r="Q262" s="239"/>
      <c r="R262" s="239">
        <f t="shared" si="3"/>
        <v>19</v>
      </c>
      <c r="S262" s="239"/>
      <c r="T262" s="239"/>
      <c r="U262" s="239"/>
      <c r="V262" s="239"/>
      <c r="W262" s="239"/>
      <c r="X262" s="239"/>
      <c r="Y262" s="239"/>
      <c r="Z262" s="239"/>
      <c r="AA262" s="239"/>
      <c r="AB262" s="239"/>
      <c r="AC262" s="239"/>
      <c r="AD262" s="239"/>
    </row>
    <row r="263">
      <c r="A263" s="218">
        <v>261.0</v>
      </c>
      <c r="B263" s="58" t="s">
        <v>1355</v>
      </c>
      <c r="C263" s="61" t="s">
        <v>1243</v>
      </c>
      <c r="D263" s="61">
        <v>19.0</v>
      </c>
      <c r="E263" s="58" t="s">
        <v>123</v>
      </c>
      <c r="F263" s="58" t="s">
        <v>145</v>
      </c>
      <c r="G263" s="58">
        <v>7.0</v>
      </c>
      <c r="H263" s="58">
        <v>0.0</v>
      </c>
      <c r="I263" s="58">
        <v>2.0</v>
      </c>
      <c r="J263" s="58">
        <f t="shared" si="1"/>
        <v>2</v>
      </c>
      <c r="K263" s="65">
        <f t="shared" si="2"/>
        <v>0.2857142857</v>
      </c>
      <c r="L263" s="66">
        <v>974167.0</v>
      </c>
      <c r="M263" s="63"/>
      <c r="N263" s="58" t="s">
        <v>77</v>
      </c>
      <c r="O263" s="58">
        <v>50.0</v>
      </c>
      <c r="P263" s="58" t="s">
        <v>1357</v>
      </c>
      <c r="Q263" s="239"/>
      <c r="R263" s="239">
        <f t="shared" si="3"/>
        <v>48</v>
      </c>
      <c r="S263" s="239"/>
      <c r="T263" s="239"/>
      <c r="U263" s="239"/>
      <c r="V263" s="239"/>
      <c r="W263" s="239"/>
      <c r="X263" s="239"/>
      <c r="Y263" s="239"/>
      <c r="Z263" s="239"/>
      <c r="AA263" s="239"/>
      <c r="AB263" s="239"/>
      <c r="AC263" s="239"/>
      <c r="AD263" s="239"/>
    </row>
    <row r="264">
      <c r="A264" s="218">
        <v>262.0</v>
      </c>
      <c r="B264" s="58" t="s">
        <v>1353</v>
      </c>
      <c r="C264" s="61" t="s">
        <v>1243</v>
      </c>
      <c r="D264" s="61">
        <v>20.0</v>
      </c>
      <c r="E264" s="58" t="s">
        <v>123</v>
      </c>
      <c r="F264" s="58" t="s">
        <v>88</v>
      </c>
      <c r="G264" s="58">
        <v>7.0</v>
      </c>
      <c r="H264" s="58">
        <v>1.0</v>
      </c>
      <c r="I264" s="58">
        <v>1.0</v>
      </c>
      <c r="J264" s="58">
        <f t="shared" si="1"/>
        <v>2</v>
      </c>
      <c r="K264" s="65">
        <f t="shared" si="2"/>
        <v>0.2857142857</v>
      </c>
      <c r="L264" s="66">
        <v>941667.0</v>
      </c>
      <c r="M264" s="63"/>
      <c r="N264" s="63"/>
      <c r="O264" s="58">
        <v>20.0</v>
      </c>
      <c r="P264" s="58" t="s">
        <v>1361</v>
      </c>
      <c r="Q264" s="239"/>
      <c r="R264" s="239">
        <f t="shared" si="3"/>
        <v>18</v>
      </c>
      <c r="S264" s="239"/>
      <c r="T264" s="239"/>
      <c r="U264" s="239"/>
      <c r="V264" s="239"/>
      <c r="W264" s="239"/>
      <c r="X264" s="239"/>
      <c r="Y264" s="239"/>
      <c r="Z264" s="239"/>
      <c r="AA264" s="239"/>
      <c r="AB264" s="239"/>
      <c r="AC264" s="239"/>
      <c r="AD264" s="239"/>
    </row>
    <row r="265">
      <c r="A265" s="218">
        <v>263.0</v>
      </c>
      <c r="B265" s="58" t="s">
        <v>1363</v>
      </c>
      <c r="C265" s="61" t="s">
        <v>1243</v>
      </c>
      <c r="D265" s="61">
        <v>18.0</v>
      </c>
      <c r="E265" s="58" t="s">
        <v>59</v>
      </c>
      <c r="F265" s="58" t="s">
        <v>729</v>
      </c>
      <c r="G265" s="58">
        <v>65.0</v>
      </c>
      <c r="H265" s="58">
        <v>6.0</v>
      </c>
      <c r="I265" s="58">
        <v>12.0</v>
      </c>
      <c r="J265" s="58">
        <f t="shared" si="1"/>
        <v>18</v>
      </c>
      <c r="K265" s="65">
        <f t="shared" si="2"/>
        <v>0.2769230769</v>
      </c>
      <c r="L265" s="66" t="s">
        <v>283</v>
      </c>
      <c r="M265" s="63"/>
      <c r="N265" s="63"/>
      <c r="O265" s="58">
        <v>25.0</v>
      </c>
      <c r="P265" s="58" t="s">
        <v>1365</v>
      </c>
      <c r="Q265" s="239"/>
      <c r="R265" s="239">
        <f t="shared" si="3"/>
        <v>7</v>
      </c>
      <c r="S265" s="239"/>
      <c r="T265" s="239"/>
      <c r="U265" s="239"/>
      <c r="V265" s="239"/>
      <c r="W265" s="239"/>
      <c r="X265" s="239"/>
      <c r="Y265" s="239"/>
      <c r="Z265" s="239"/>
      <c r="AA265" s="239"/>
      <c r="AB265" s="239"/>
      <c r="AC265" s="239"/>
      <c r="AD265" s="239"/>
    </row>
    <row r="266">
      <c r="A266" s="218">
        <v>264.0</v>
      </c>
      <c r="B266" s="58" t="s">
        <v>1366</v>
      </c>
      <c r="C266" s="61" t="s">
        <v>1243</v>
      </c>
      <c r="D266" s="61">
        <v>22.0</v>
      </c>
      <c r="E266" s="58" t="s">
        <v>165</v>
      </c>
      <c r="F266" s="58" t="s">
        <v>185</v>
      </c>
      <c r="G266" s="58">
        <v>44.0</v>
      </c>
      <c r="H266" s="58">
        <v>4.0</v>
      </c>
      <c r="I266" s="58">
        <v>8.0</v>
      </c>
      <c r="J266" s="58">
        <f t="shared" si="1"/>
        <v>12</v>
      </c>
      <c r="K266" s="65">
        <f t="shared" si="2"/>
        <v>0.2727272727</v>
      </c>
      <c r="L266" s="66">
        <v>972500.0</v>
      </c>
      <c r="M266" s="63"/>
      <c r="N266" s="58" t="s">
        <v>77</v>
      </c>
      <c r="O266" s="58">
        <v>50.0</v>
      </c>
      <c r="P266" s="58" t="s">
        <v>1369</v>
      </c>
      <c r="Q266" s="238"/>
      <c r="R266" s="239">
        <f t="shared" si="3"/>
        <v>38</v>
      </c>
      <c r="S266" s="239"/>
      <c r="T266" s="239"/>
      <c r="U266" s="239"/>
      <c r="V266" s="239"/>
      <c r="W266" s="239"/>
      <c r="X266" s="239"/>
      <c r="Y266" s="239"/>
      <c r="Z266" s="239"/>
      <c r="AA266" s="239"/>
      <c r="AB266" s="239"/>
      <c r="AC266" s="239"/>
      <c r="AD266" s="239"/>
    </row>
    <row r="267">
      <c r="A267" s="218">
        <v>265.0</v>
      </c>
      <c r="B267" s="58" t="s">
        <v>1356</v>
      </c>
      <c r="C267" s="61" t="s">
        <v>1243</v>
      </c>
      <c r="D267" s="61">
        <v>20.0</v>
      </c>
      <c r="E267" s="58" t="s">
        <v>59</v>
      </c>
      <c r="F267" s="58" t="s">
        <v>88</v>
      </c>
      <c r="G267" s="58">
        <v>44.0</v>
      </c>
      <c r="H267" s="58">
        <v>4.0</v>
      </c>
      <c r="I267" s="58">
        <v>8.0</v>
      </c>
      <c r="J267" s="58">
        <f t="shared" si="1"/>
        <v>12</v>
      </c>
      <c r="K267" s="65">
        <f t="shared" si="2"/>
        <v>0.2727272727</v>
      </c>
      <c r="L267" s="66">
        <v>972500.0</v>
      </c>
      <c r="M267" s="63"/>
      <c r="N267" s="63"/>
      <c r="O267" s="58">
        <v>35.0</v>
      </c>
      <c r="P267" s="58" t="s">
        <v>1361</v>
      </c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  <c r="AA267" s="239"/>
      <c r="AB267" s="239"/>
      <c r="AC267" s="239"/>
      <c r="AD267" s="239"/>
    </row>
    <row r="268">
      <c r="A268" s="38"/>
      <c r="B268" s="38"/>
      <c r="C268" s="243"/>
      <c r="D268" s="243"/>
      <c r="E268" s="38"/>
      <c r="F268" s="76"/>
      <c r="G268" s="38"/>
      <c r="H268" s="38"/>
      <c r="I268" s="38"/>
      <c r="J268" s="38"/>
      <c r="K268" s="38"/>
      <c r="L268" s="244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</row>
    <row r="269">
      <c r="A269" s="38"/>
      <c r="B269" s="38"/>
      <c r="C269" s="243"/>
      <c r="D269" s="243"/>
      <c r="E269" s="38"/>
      <c r="F269" s="38"/>
      <c r="G269" s="38"/>
      <c r="H269" s="38"/>
      <c r="I269" s="38"/>
      <c r="J269" s="38"/>
      <c r="K269" s="38"/>
      <c r="L269" s="244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</row>
    <row r="270">
      <c r="A270" s="38"/>
      <c r="B270" s="38"/>
      <c r="C270" s="243"/>
      <c r="D270" s="243"/>
      <c r="E270" s="38"/>
      <c r="F270" s="38"/>
      <c r="G270" s="38"/>
      <c r="H270" s="38"/>
      <c r="I270" s="38"/>
      <c r="J270" s="38"/>
      <c r="K270" s="38"/>
      <c r="L270" s="245" t="s">
        <v>1381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</row>
    <row r="271">
      <c r="A271" s="38"/>
      <c r="B271" s="38"/>
      <c r="C271" s="246" t="s">
        <v>1384</v>
      </c>
      <c r="D271" s="243"/>
      <c r="E271" s="38"/>
      <c r="F271" s="38"/>
      <c r="G271" s="38"/>
      <c r="H271" s="38"/>
      <c r="I271" s="38"/>
      <c r="J271" s="38"/>
      <c r="K271" s="38"/>
      <c r="L271" s="244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</row>
    <row r="272">
      <c r="A272" s="38"/>
      <c r="B272" s="38"/>
      <c r="C272" s="243"/>
      <c r="D272" s="243"/>
      <c r="E272" s="38"/>
      <c r="F272" s="38"/>
      <c r="G272" s="38"/>
      <c r="H272" s="38"/>
      <c r="I272" s="38"/>
      <c r="J272" s="38"/>
      <c r="K272" s="38"/>
      <c r="L272" s="244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</row>
    <row r="273">
      <c r="A273" s="38"/>
      <c r="B273" s="38"/>
      <c r="C273" s="243"/>
      <c r="D273" s="243"/>
      <c r="E273" s="38"/>
      <c r="F273" s="38"/>
      <c r="G273" s="38"/>
      <c r="H273" s="38"/>
      <c r="I273" s="38"/>
      <c r="J273" s="38"/>
      <c r="K273" s="38"/>
      <c r="L273" s="244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</row>
    <row r="274">
      <c r="A274" s="38"/>
      <c r="B274" s="38"/>
      <c r="C274" s="243"/>
      <c r="D274" s="243"/>
      <c r="E274" s="38"/>
      <c r="F274" s="38"/>
      <c r="G274" s="38"/>
      <c r="H274" s="38"/>
      <c r="I274" s="38"/>
      <c r="J274" s="38"/>
      <c r="K274" s="38"/>
      <c r="L274" s="244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</row>
    <row r="275">
      <c r="A275" s="38"/>
      <c r="B275" s="38"/>
      <c r="C275" s="243"/>
      <c r="D275" s="243"/>
      <c r="E275" s="38"/>
      <c r="F275" s="38"/>
      <c r="G275" s="38"/>
      <c r="H275" s="38"/>
      <c r="I275" s="38"/>
      <c r="J275" s="38"/>
      <c r="K275" s="38"/>
      <c r="L275" s="244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</row>
    <row r="276">
      <c r="A276" s="38"/>
      <c r="B276" s="38"/>
      <c r="C276" s="243"/>
      <c r="D276" s="243"/>
      <c r="E276" s="38"/>
      <c r="F276" s="38"/>
      <c r="G276" s="38"/>
      <c r="H276" s="38"/>
      <c r="I276" s="38"/>
      <c r="J276" s="38"/>
      <c r="K276" s="38"/>
      <c r="L276" s="244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</row>
    <row r="277">
      <c r="A277" s="38"/>
      <c r="B277" s="38"/>
      <c r="C277" s="243"/>
      <c r="D277" s="243"/>
      <c r="E277" s="38"/>
      <c r="F277" s="38"/>
      <c r="G277" s="38"/>
      <c r="H277" s="38"/>
      <c r="I277" s="38"/>
      <c r="J277" s="38"/>
      <c r="K277" s="38"/>
      <c r="L277" s="244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</row>
    <row r="278">
      <c r="A278" s="38"/>
      <c r="B278" s="38"/>
      <c r="C278" s="243"/>
      <c r="D278" s="243"/>
      <c r="E278" s="38"/>
      <c r="F278" s="38"/>
      <c r="G278" s="38"/>
      <c r="H278" s="38"/>
      <c r="I278" s="38"/>
      <c r="J278" s="38"/>
      <c r="K278" s="38"/>
      <c r="L278" s="244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</row>
    <row r="279">
      <c r="A279" s="38"/>
      <c r="B279" s="38"/>
      <c r="C279" s="243"/>
      <c r="D279" s="243"/>
      <c r="E279" s="38"/>
      <c r="F279" s="38"/>
      <c r="G279" s="38"/>
      <c r="H279" s="38"/>
      <c r="I279" s="38"/>
      <c r="J279" s="38"/>
      <c r="K279" s="38"/>
      <c r="L279" s="244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</row>
    <row r="280">
      <c r="A280" s="38"/>
      <c r="B280" s="38"/>
      <c r="C280" s="243"/>
      <c r="D280" s="243"/>
      <c r="E280" s="38"/>
      <c r="F280" s="38"/>
      <c r="G280" s="38"/>
      <c r="H280" s="38"/>
      <c r="I280" s="38"/>
      <c r="J280" s="38"/>
      <c r="K280" s="38"/>
      <c r="L280" s="244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</row>
    <row r="281">
      <c r="A281" s="38"/>
      <c r="B281" s="38"/>
      <c r="C281" s="243"/>
      <c r="D281" s="243"/>
      <c r="E281" s="38"/>
      <c r="F281" s="38"/>
      <c r="G281" s="38"/>
      <c r="H281" s="38"/>
      <c r="I281" s="38"/>
      <c r="J281" s="38"/>
      <c r="K281" s="38"/>
      <c r="L281" s="244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</row>
    <row r="282">
      <c r="A282" s="38"/>
      <c r="B282" s="38"/>
      <c r="C282" s="243"/>
      <c r="D282" s="243"/>
      <c r="E282" s="38"/>
      <c r="F282" s="38"/>
      <c r="G282" s="38"/>
      <c r="H282" s="38"/>
      <c r="I282" s="38"/>
      <c r="J282" s="38"/>
      <c r="K282" s="38"/>
      <c r="L282" s="244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</row>
    <row r="283">
      <c r="A283" s="38"/>
      <c r="B283" s="38"/>
      <c r="C283" s="243"/>
      <c r="D283" s="243"/>
      <c r="E283" s="38"/>
      <c r="F283" s="38"/>
      <c r="G283" s="38"/>
      <c r="H283" s="38"/>
      <c r="I283" s="38"/>
      <c r="J283" s="38"/>
      <c r="K283" s="38"/>
      <c r="L283" s="244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</row>
    <row r="284">
      <c r="A284" s="38"/>
      <c r="B284" s="38"/>
      <c r="C284" s="243"/>
      <c r="D284" s="243"/>
      <c r="E284" s="38"/>
      <c r="F284" s="38"/>
      <c r="G284" s="38"/>
      <c r="H284" s="38"/>
      <c r="I284" s="38"/>
      <c r="J284" s="38"/>
      <c r="K284" s="38"/>
      <c r="L284" s="244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</row>
    <row r="285">
      <c r="A285" s="38"/>
      <c r="B285" s="38"/>
      <c r="C285" s="243"/>
      <c r="D285" s="243"/>
      <c r="E285" s="38"/>
      <c r="F285" s="38"/>
      <c r="G285" s="38"/>
      <c r="H285" s="38"/>
      <c r="I285" s="38"/>
      <c r="J285" s="38"/>
      <c r="K285" s="38"/>
      <c r="L285" s="244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</row>
    <row r="286">
      <c r="A286" s="38"/>
      <c r="B286" s="38"/>
      <c r="C286" s="243"/>
      <c r="D286" s="243"/>
      <c r="E286" s="38"/>
      <c r="F286" s="38"/>
      <c r="G286" s="38"/>
      <c r="H286" s="38"/>
      <c r="I286" s="38"/>
      <c r="J286" s="38"/>
      <c r="K286" s="38"/>
      <c r="L286" s="244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</row>
    <row r="287">
      <c r="A287" s="38"/>
      <c r="B287" s="38"/>
      <c r="C287" s="243"/>
      <c r="D287" s="243"/>
      <c r="E287" s="38"/>
      <c r="F287" s="38"/>
      <c r="G287" s="38"/>
      <c r="H287" s="38"/>
      <c r="I287" s="38"/>
      <c r="J287" s="38"/>
      <c r="K287" s="38"/>
      <c r="L287" s="244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</row>
    <row r="288">
      <c r="A288" s="38"/>
      <c r="B288" s="38"/>
      <c r="C288" s="243"/>
      <c r="D288" s="243"/>
      <c r="E288" s="38"/>
      <c r="F288" s="38"/>
      <c r="G288" s="38"/>
      <c r="H288" s="38"/>
      <c r="I288" s="38"/>
      <c r="J288" s="38"/>
      <c r="K288" s="38"/>
      <c r="L288" s="244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</row>
    <row r="289">
      <c r="A289" s="38"/>
      <c r="B289" s="38"/>
      <c r="C289" s="243"/>
      <c r="D289" s="243"/>
      <c r="E289" s="38"/>
      <c r="F289" s="38"/>
      <c r="G289" s="38"/>
      <c r="H289" s="38"/>
      <c r="I289" s="38"/>
      <c r="J289" s="38"/>
      <c r="K289" s="38"/>
      <c r="L289" s="244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</row>
    <row r="290">
      <c r="A290" s="38"/>
      <c r="B290" s="38"/>
      <c r="C290" s="243"/>
      <c r="D290" s="243"/>
      <c r="E290" s="38"/>
      <c r="F290" s="38"/>
      <c r="G290" s="38"/>
      <c r="H290" s="38"/>
      <c r="I290" s="38"/>
      <c r="J290" s="38"/>
      <c r="K290" s="38"/>
      <c r="L290" s="244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</row>
    <row r="291">
      <c r="A291" s="38"/>
      <c r="B291" s="38"/>
      <c r="C291" s="243"/>
      <c r="D291" s="243"/>
      <c r="E291" s="38"/>
      <c r="F291" s="38"/>
      <c r="G291" s="38"/>
      <c r="H291" s="38"/>
      <c r="I291" s="38"/>
      <c r="J291" s="38"/>
      <c r="K291" s="38"/>
      <c r="L291" s="244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</row>
    <row r="292">
      <c r="A292" s="38"/>
      <c r="B292" s="38"/>
      <c r="C292" s="243"/>
      <c r="D292" s="243"/>
      <c r="E292" s="38"/>
      <c r="F292" s="38"/>
      <c r="G292" s="38"/>
      <c r="H292" s="38"/>
      <c r="I292" s="38"/>
      <c r="J292" s="38"/>
      <c r="K292" s="38"/>
      <c r="L292" s="244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</row>
    <row r="293">
      <c r="A293" s="38"/>
      <c r="B293" s="38"/>
      <c r="C293" s="243"/>
      <c r="D293" s="243"/>
      <c r="E293" s="38"/>
      <c r="F293" s="38"/>
      <c r="G293" s="38"/>
      <c r="H293" s="38"/>
      <c r="I293" s="38"/>
      <c r="J293" s="38"/>
      <c r="K293" s="38"/>
      <c r="L293" s="244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</row>
    <row r="294">
      <c r="A294" s="38"/>
      <c r="B294" s="38"/>
      <c r="C294" s="243"/>
      <c r="D294" s="243"/>
      <c r="E294" s="38"/>
      <c r="F294" s="38"/>
      <c r="G294" s="38"/>
      <c r="H294" s="38"/>
      <c r="I294" s="38"/>
      <c r="J294" s="38"/>
      <c r="K294" s="38"/>
      <c r="L294" s="244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</row>
    <row r="295">
      <c r="A295" s="38"/>
      <c r="B295" s="38"/>
      <c r="C295" s="243"/>
      <c r="D295" s="243"/>
      <c r="E295" s="38"/>
      <c r="F295" s="38"/>
      <c r="G295" s="38"/>
      <c r="H295" s="38"/>
      <c r="I295" s="38"/>
      <c r="J295" s="38"/>
      <c r="K295" s="38"/>
      <c r="L295" s="244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</row>
    <row r="296">
      <c r="A296" s="38"/>
      <c r="B296" s="38"/>
      <c r="C296" s="243"/>
      <c r="D296" s="243"/>
      <c r="E296" s="38"/>
      <c r="F296" s="38"/>
      <c r="G296" s="38"/>
      <c r="H296" s="38"/>
      <c r="I296" s="38"/>
      <c r="J296" s="38"/>
      <c r="K296" s="38"/>
      <c r="L296" s="244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</row>
    <row r="297">
      <c r="A297" s="38"/>
      <c r="B297" s="38"/>
      <c r="C297" s="243"/>
      <c r="D297" s="243"/>
      <c r="E297" s="38"/>
      <c r="F297" s="38"/>
      <c r="G297" s="38"/>
      <c r="H297" s="38"/>
      <c r="I297" s="38"/>
      <c r="J297" s="38"/>
      <c r="K297" s="38"/>
      <c r="L297" s="244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</row>
    <row r="298">
      <c r="A298" s="38"/>
      <c r="B298" s="38"/>
      <c r="C298" s="243"/>
      <c r="D298" s="243"/>
      <c r="E298" s="38"/>
      <c r="F298" s="38"/>
      <c r="G298" s="38"/>
      <c r="H298" s="38"/>
      <c r="I298" s="38"/>
      <c r="J298" s="38"/>
      <c r="K298" s="38"/>
      <c r="L298" s="244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</row>
    <row r="299">
      <c r="A299" s="38"/>
      <c r="B299" s="38"/>
      <c r="C299" s="243"/>
      <c r="D299" s="243"/>
      <c r="E299" s="38"/>
      <c r="F299" s="38"/>
      <c r="G299" s="38"/>
      <c r="H299" s="38"/>
      <c r="I299" s="38"/>
      <c r="J299" s="38"/>
      <c r="K299" s="38"/>
      <c r="L299" s="244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</row>
    <row r="300">
      <c r="A300" s="38"/>
      <c r="B300" s="38"/>
      <c r="C300" s="243"/>
      <c r="D300" s="243"/>
      <c r="E300" s="38"/>
      <c r="F300" s="38"/>
      <c r="G300" s="38"/>
      <c r="H300" s="38"/>
      <c r="I300" s="38"/>
      <c r="J300" s="38"/>
      <c r="K300" s="38"/>
      <c r="L300" s="244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</row>
    <row r="301">
      <c r="A301" s="38"/>
      <c r="B301" s="38"/>
      <c r="C301" s="243"/>
      <c r="D301" s="243"/>
      <c r="E301" s="38"/>
      <c r="F301" s="38"/>
      <c r="G301" s="38"/>
      <c r="H301" s="38"/>
      <c r="I301" s="38"/>
      <c r="J301" s="38"/>
      <c r="K301" s="38"/>
      <c r="L301" s="244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</row>
    <row r="302">
      <c r="A302" s="38"/>
      <c r="B302" s="38"/>
      <c r="C302" s="243"/>
      <c r="D302" s="243"/>
      <c r="E302" s="38"/>
      <c r="F302" s="38"/>
      <c r="G302" s="38"/>
      <c r="H302" s="38"/>
      <c r="I302" s="38"/>
      <c r="J302" s="38"/>
      <c r="K302" s="38"/>
      <c r="L302" s="244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</row>
    <row r="303">
      <c r="A303" s="38"/>
      <c r="B303" s="38"/>
      <c r="C303" s="243"/>
      <c r="D303" s="243"/>
      <c r="E303" s="38"/>
      <c r="F303" s="38"/>
      <c r="G303" s="38"/>
      <c r="H303" s="38"/>
      <c r="I303" s="38"/>
      <c r="J303" s="38"/>
      <c r="K303" s="38"/>
      <c r="L303" s="244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</row>
    <row r="304">
      <c r="A304" s="38"/>
      <c r="B304" s="38"/>
      <c r="C304" s="243"/>
      <c r="D304" s="243"/>
      <c r="E304" s="38"/>
      <c r="F304" s="38"/>
      <c r="G304" s="38"/>
      <c r="H304" s="38"/>
      <c r="I304" s="38"/>
      <c r="J304" s="38"/>
      <c r="K304" s="38"/>
      <c r="L304" s="244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</row>
    <row r="305">
      <c r="A305" s="38"/>
      <c r="B305" s="38"/>
      <c r="C305" s="243"/>
      <c r="D305" s="243"/>
      <c r="E305" s="38"/>
      <c r="F305" s="38"/>
      <c r="G305" s="38"/>
      <c r="H305" s="38"/>
      <c r="I305" s="38"/>
      <c r="J305" s="38"/>
      <c r="K305" s="38"/>
      <c r="L305" s="244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</row>
    <row r="306">
      <c r="A306" s="38"/>
      <c r="B306" s="38"/>
      <c r="C306" s="243"/>
      <c r="D306" s="243"/>
      <c r="E306" s="38"/>
      <c r="F306" s="38"/>
      <c r="G306" s="38"/>
      <c r="H306" s="38"/>
      <c r="I306" s="38"/>
      <c r="J306" s="38"/>
      <c r="K306" s="38"/>
      <c r="L306" s="244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</row>
    <row r="307">
      <c r="A307" s="38"/>
      <c r="B307" s="38"/>
      <c r="C307" s="243"/>
      <c r="D307" s="243"/>
      <c r="E307" s="38"/>
      <c r="F307" s="38"/>
      <c r="G307" s="38"/>
      <c r="H307" s="38"/>
      <c r="I307" s="38"/>
      <c r="J307" s="38"/>
      <c r="K307" s="38"/>
      <c r="L307" s="244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</row>
    <row r="308">
      <c r="A308" s="38"/>
      <c r="B308" s="38"/>
      <c r="C308" s="243"/>
      <c r="D308" s="243"/>
      <c r="E308" s="38"/>
      <c r="F308" s="38"/>
      <c r="G308" s="38"/>
      <c r="H308" s="38"/>
      <c r="I308" s="38"/>
      <c r="J308" s="38"/>
      <c r="K308" s="38"/>
      <c r="L308" s="244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</row>
    <row r="309">
      <c r="A309" s="38"/>
      <c r="B309" s="38"/>
      <c r="C309" s="243"/>
      <c r="D309" s="243"/>
      <c r="E309" s="38"/>
      <c r="F309" s="38"/>
      <c r="G309" s="38"/>
      <c r="H309" s="38"/>
      <c r="I309" s="38"/>
      <c r="J309" s="38"/>
      <c r="K309" s="38"/>
      <c r="L309" s="244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</row>
    <row r="310">
      <c r="A310" s="38"/>
      <c r="B310" s="38"/>
      <c r="C310" s="243"/>
      <c r="D310" s="243"/>
      <c r="E310" s="38"/>
      <c r="F310" s="38"/>
      <c r="G310" s="38"/>
      <c r="H310" s="38"/>
      <c r="I310" s="38"/>
      <c r="J310" s="38"/>
      <c r="K310" s="38"/>
      <c r="L310" s="244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</row>
    <row r="311">
      <c r="A311" s="38"/>
      <c r="B311" s="38"/>
      <c r="C311" s="243"/>
      <c r="D311" s="243"/>
      <c r="E311" s="38"/>
      <c r="F311" s="38"/>
      <c r="G311" s="38"/>
      <c r="H311" s="38"/>
      <c r="I311" s="38"/>
      <c r="J311" s="38"/>
      <c r="K311" s="38"/>
      <c r="L311" s="244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</row>
    <row r="312">
      <c r="A312" s="38"/>
      <c r="B312" s="38"/>
      <c r="C312" s="243"/>
      <c r="D312" s="243"/>
      <c r="E312" s="38"/>
      <c r="F312" s="38"/>
      <c r="G312" s="38"/>
      <c r="H312" s="38"/>
      <c r="I312" s="38"/>
      <c r="J312" s="38"/>
      <c r="K312" s="38"/>
      <c r="L312" s="244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</row>
    <row r="313">
      <c r="A313" s="38"/>
      <c r="B313" s="38"/>
      <c r="C313" s="243"/>
      <c r="D313" s="243"/>
      <c r="E313" s="38"/>
      <c r="F313" s="38"/>
      <c r="G313" s="38"/>
      <c r="H313" s="38"/>
      <c r="I313" s="38"/>
      <c r="J313" s="38"/>
      <c r="K313" s="38"/>
      <c r="L313" s="244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</row>
    <row r="314">
      <c r="A314" s="38"/>
      <c r="B314" s="38"/>
      <c r="C314" s="243"/>
      <c r="D314" s="243"/>
      <c r="E314" s="38"/>
      <c r="F314" s="38"/>
      <c r="G314" s="38"/>
      <c r="H314" s="38"/>
      <c r="I314" s="38"/>
      <c r="J314" s="38"/>
      <c r="K314" s="38"/>
      <c r="L314" s="244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</row>
    <row r="315">
      <c r="A315" s="38"/>
      <c r="B315" s="38"/>
      <c r="C315" s="243"/>
      <c r="D315" s="243"/>
      <c r="E315" s="38"/>
      <c r="F315" s="38"/>
      <c r="G315" s="38"/>
      <c r="H315" s="38"/>
      <c r="I315" s="38"/>
      <c r="J315" s="38"/>
      <c r="K315" s="38"/>
      <c r="L315" s="244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</row>
    <row r="316">
      <c r="A316" s="38"/>
      <c r="B316" s="38"/>
      <c r="C316" s="243"/>
      <c r="D316" s="243"/>
      <c r="E316" s="38"/>
      <c r="F316" s="38"/>
      <c r="G316" s="38"/>
      <c r="H316" s="38"/>
      <c r="I316" s="38"/>
      <c r="J316" s="38"/>
      <c r="K316" s="38"/>
      <c r="L316" s="244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</row>
    <row r="317">
      <c r="A317" s="38"/>
      <c r="B317" s="38"/>
      <c r="C317" s="243"/>
      <c r="D317" s="243"/>
      <c r="E317" s="38"/>
      <c r="F317" s="38"/>
      <c r="G317" s="38"/>
      <c r="H317" s="38"/>
      <c r="I317" s="38"/>
      <c r="J317" s="38"/>
      <c r="K317" s="38"/>
      <c r="L317" s="244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</row>
    <row r="318">
      <c r="A318" s="38"/>
      <c r="B318" s="38"/>
      <c r="C318" s="243"/>
      <c r="D318" s="243"/>
      <c r="E318" s="38"/>
      <c r="F318" s="38"/>
      <c r="G318" s="38"/>
      <c r="H318" s="38"/>
      <c r="I318" s="38"/>
      <c r="J318" s="38"/>
      <c r="K318" s="38"/>
      <c r="L318" s="244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</row>
    <row r="319">
      <c r="A319" s="38"/>
      <c r="B319" s="38"/>
      <c r="C319" s="243"/>
      <c r="D319" s="243"/>
      <c r="E319" s="38"/>
      <c r="F319" s="38"/>
      <c r="G319" s="38"/>
      <c r="H319" s="38"/>
      <c r="I319" s="38"/>
      <c r="J319" s="38"/>
      <c r="K319" s="38"/>
      <c r="L319" s="244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</row>
    <row r="320">
      <c r="A320" s="38"/>
      <c r="B320" s="38"/>
      <c r="C320" s="243"/>
      <c r="D320" s="243"/>
      <c r="E320" s="38"/>
      <c r="F320" s="38"/>
      <c r="G320" s="38"/>
      <c r="H320" s="38"/>
      <c r="I320" s="38"/>
      <c r="J320" s="38"/>
      <c r="K320" s="38"/>
      <c r="L320" s="244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</row>
    <row r="321">
      <c r="A321" s="38"/>
      <c r="B321" s="38"/>
      <c r="C321" s="243"/>
      <c r="D321" s="243"/>
      <c r="E321" s="38"/>
      <c r="F321" s="38"/>
      <c r="G321" s="38"/>
      <c r="H321" s="38"/>
      <c r="I321" s="38"/>
      <c r="J321" s="38"/>
      <c r="K321" s="38"/>
      <c r="L321" s="244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</row>
    <row r="322">
      <c r="A322" s="38"/>
      <c r="B322" s="38"/>
      <c r="C322" s="243"/>
      <c r="D322" s="243"/>
      <c r="E322" s="38"/>
      <c r="F322" s="38"/>
      <c r="G322" s="38"/>
      <c r="H322" s="38"/>
      <c r="I322" s="38"/>
      <c r="J322" s="38"/>
      <c r="K322" s="38"/>
      <c r="L322" s="244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</row>
    <row r="323">
      <c r="A323" s="38"/>
      <c r="B323" s="38"/>
      <c r="C323" s="243"/>
      <c r="D323" s="243"/>
      <c r="E323" s="38"/>
      <c r="F323" s="38"/>
      <c r="G323" s="38"/>
      <c r="H323" s="38"/>
      <c r="I323" s="38"/>
      <c r="J323" s="38"/>
      <c r="K323" s="38"/>
      <c r="L323" s="244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</row>
    <row r="324">
      <c r="A324" s="38"/>
      <c r="B324" s="38"/>
      <c r="C324" s="243"/>
      <c r="D324" s="243"/>
      <c r="E324" s="38"/>
      <c r="F324" s="38"/>
      <c r="G324" s="38"/>
      <c r="H324" s="38"/>
      <c r="I324" s="38"/>
      <c r="J324" s="38"/>
      <c r="K324" s="38"/>
      <c r="L324" s="244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</row>
    <row r="325">
      <c r="A325" s="38"/>
      <c r="B325" s="38"/>
      <c r="C325" s="243"/>
      <c r="D325" s="243"/>
      <c r="E325" s="38"/>
      <c r="F325" s="38"/>
      <c r="G325" s="38"/>
      <c r="H325" s="38"/>
      <c r="I325" s="38"/>
      <c r="J325" s="38"/>
      <c r="K325" s="38"/>
      <c r="L325" s="244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</row>
    <row r="326">
      <c r="A326" s="38"/>
      <c r="B326" s="38"/>
      <c r="C326" s="243"/>
      <c r="D326" s="243"/>
      <c r="E326" s="38"/>
      <c r="F326" s="38"/>
      <c r="G326" s="38"/>
      <c r="H326" s="38"/>
      <c r="I326" s="38"/>
      <c r="J326" s="38"/>
      <c r="K326" s="38"/>
      <c r="L326" s="244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</row>
    <row r="327">
      <c r="A327" s="38"/>
      <c r="B327" s="38"/>
      <c r="C327" s="243"/>
      <c r="D327" s="243"/>
      <c r="E327" s="38"/>
      <c r="F327" s="38"/>
      <c r="G327" s="38"/>
      <c r="H327" s="38"/>
      <c r="I327" s="38"/>
      <c r="J327" s="38"/>
      <c r="K327" s="38"/>
      <c r="L327" s="244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</row>
    <row r="328">
      <c r="A328" s="38"/>
      <c r="B328" s="38"/>
      <c r="C328" s="243"/>
      <c r="D328" s="243"/>
      <c r="E328" s="38"/>
      <c r="F328" s="38"/>
      <c r="G328" s="38"/>
      <c r="H328" s="38"/>
      <c r="I328" s="38"/>
      <c r="J328" s="38"/>
      <c r="K328" s="38"/>
      <c r="L328" s="244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</row>
    <row r="329">
      <c r="A329" s="38"/>
      <c r="B329" s="38"/>
      <c r="C329" s="243"/>
      <c r="D329" s="243"/>
      <c r="E329" s="38"/>
      <c r="F329" s="38"/>
      <c r="G329" s="38"/>
      <c r="H329" s="38"/>
      <c r="I329" s="38"/>
      <c r="J329" s="38"/>
      <c r="K329" s="38"/>
      <c r="L329" s="244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</row>
    <row r="330">
      <c r="A330" s="38"/>
      <c r="B330" s="38"/>
      <c r="C330" s="243"/>
      <c r="D330" s="243"/>
      <c r="E330" s="38"/>
      <c r="F330" s="38"/>
      <c r="G330" s="38"/>
      <c r="H330" s="38"/>
      <c r="I330" s="38"/>
      <c r="J330" s="38"/>
      <c r="K330" s="38"/>
      <c r="L330" s="244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</row>
    <row r="331">
      <c r="A331" s="38"/>
      <c r="B331" s="38"/>
      <c r="C331" s="243"/>
      <c r="D331" s="243"/>
      <c r="E331" s="38"/>
      <c r="F331" s="38"/>
      <c r="G331" s="38"/>
      <c r="H331" s="38"/>
      <c r="I331" s="38"/>
      <c r="J331" s="38"/>
      <c r="K331" s="38"/>
      <c r="L331" s="244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</row>
    <row r="332">
      <c r="A332" s="38"/>
      <c r="B332" s="38"/>
      <c r="C332" s="243"/>
      <c r="D332" s="243"/>
      <c r="E332" s="38"/>
      <c r="F332" s="38"/>
      <c r="G332" s="38"/>
      <c r="H332" s="38"/>
      <c r="I332" s="38"/>
      <c r="J332" s="38"/>
      <c r="K332" s="38"/>
      <c r="L332" s="244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</row>
    <row r="333">
      <c r="A333" s="38"/>
      <c r="B333" s="38"/>
      <c r="C333" s="243"/>
      <c r="D333" s="243"/>
      <c r="E333" s="38"/>
      <c r="F333" s="38"/>
      <c r="G333" s="38"/>
      <c r="H333" s="38"/>
      <c r="I333" s="38"/>
      <c r="J333" s="38"/>
      <c r="K333" s="38"/>
      <c r="L333" s="244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</row>
    <row r="334">
      <c r="A334" s="38"/>
      <c r="B334" s="38"/>
      <c r="C334" s="243"/>
      <c r="D334" s="243"/>
      <c r="E334" s="38"/>
      <c r="F334" s="38"/>
      <c r="G334" s="38"/>
      <c r="H334" s="38"/>
      <c r="I334" s="38"/>
      <c r="J334" s="38"/>
      <c r="K334" s="38"/>
      <c r="L334" s="244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</row>
    <row r="335">
      <c r="A335" s="38"/>
      <c r="B335" s="38"/>
      <c r="C335" s="243"/>
      <c r="D335" s="243"/>
      <c r="E335" s="38"/>
      <c r="F335" s="38"/>
      <c r="G335" s="38"/>
      <c r="H335" s="38"/>
      <c r="I335" s="38"/>
      <c r="J335" s="38"/>
      <c r="K335" s="38"/>
      <c r="L335" s="244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</row>
    <row r="336">
      <c r="A336" s="38"/>
      <c r="B336" s="38"/>
      <c r="C336" s="243"/>
      <c r="D336" s="243"/>
      <c r="E336" s="38"/>
      <c r="F336" s="38"/>
      <c r="G336" s="38"/>
      <c r="H336" s="38"/>
      <c r="I336" s="38"/>
      <c r="J336" s="38"/>
      <c r="K336" s="38"/>
      <c r="L336" s="244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</row>
    <row r="337">
      <c r="A337" s="38"/>
      <c r="B337" s="38"/>
      <c r="C337" s="243"/>
      <c r="D337" s="243"/>
      <c r="E337" s="38"/>
      <c r="F337" s="38"/>
      <c r="G337" s="38"/>
      <c r="H337" s="38"/>
      <c r="I337" s="38"/>
      <c r="J337" s="38"/>
      <c r="K337" s="38"/>
      <c r="L337" s="244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</row>
    <row r="338">
      <c r="A338" s="38"/>
      <c r="B338" s="38"/>
      <c r="C338" s="243"/>
      <c r="D338" s="243"/>
      <c r="E338" s="38"/>
      <c r="F338" s="38"/>
      <c r="G338" s="38"/>
      <c r="H338" s="38"/>
      <c r="I338" s="38"/>
      <c r="J338" s="38"/>
      <c r="K338" s="38"/>
      <c r="L338" s="244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</row>
    <row r="339">
      <c r="A339" s="38"/>
      <c r="B339" s="38"/>
      <c r="C339" s="243"/>
      <c r="D339" s="243"/>
      <c r="E339" s="38"/>
      <c r="F339" s="38"/>
      <c r="G339" s="38"/>
      <c r="H339" s="38"/>
      <c r="I339" s="38"/>
      <c r="J339" s="38"/>
      <c r="K339" s="38"/>
      <c r="L339" s="244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</row>
    <row r="340">
      <c r="A340" s="38"/>
      <c r="B340" s="38"/>
      <c r="C340" s="243"/>
      <c r="D340" s="243"/>
      <c r="E340" s="38"/>
      <c r="F340" s="38"/>
      <c r="G340" s="38"/>
      <c r="H340" s="38"/>
      <c r="I340" s="38"/>
      <c r="J340" s="38"/>
      <c r="K340" s="38"/>
      <c r="L340" s="244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</row>
    <row r="341">
      <c r="A341" s="38"/>
      <c r="B341" s="38"/>
      <c r="C341" s="243"/>
      <c r="D341" s="243"/>
      <c r="E341" s="38"/>
      <c r="F341" s="38"/>
      <c r="G341" s="38"/>
      <c r="H341" s="38"/>
      <c r="I341" s="38"/>
      <c r="J341" s="38"/>
      <c r="K341" s="38"/>
      <c r="L341" s="244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</row>
    <row r="342">
      <c r="A342" s="38"/>
      <c r="B342" s="38"/>
      <c r="C342" s="243"/>
      <c r="D342" s="243"/>
      <c r="E342" s="38"/>
      <c r="F342" s="38"/>
      <c r="G342" s="38"/>
      <c r="H342" s="38"/>
      <c r="I342" s="38"/>
      <c r="J342" s="38"/>
      <c r="K342" s="38"/>
      <c r="L342" s="244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</row>
    <row r="343">
      <c r="A343" s="38"/>
      <c r="B343" s="38"/>
      <c r="C343" s="243"/>
      <c r="D343" s="243"/>
      <c r="E343" s="38"/>
      <c r="F343" s="38"/>
      <c r="G343" s="38"/>
      <c r="H343" s="38"/>
      <c r="I343" s="38"/>
      <c r="J343" s="38"/>
      <c r="K343" s="38"/>
      <c r="L343" s="244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</row>
    <row r="344">
      <c r="A344" s="38"/>
      <c r="B344" s="38"/>
      <c r="C344" s="243"/>
      <c r="D344" s="243"/>
      <c r="E344" s="38"/>
      <c r="F344" s="38"/>
      <c r="G344" s="38"/>
      <c r="H344" s="38"/>
      <c r="I344" s="38"/>
      <c r="J344" s="38"/>
      <c r="K344" s="38"/>
      <c r="L344" s="244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</row>
    <row r="345">
      <c r="A345" s="38"/>
      <c r="B345" s="38"/>
      <c r="C345" s="243"/>
      <c r="D345" s="243"/>
      <c r="E345" s="38"/>
      <c r="F345" s="38"/>
      <c r="G345" s="38"/>
      <c r="H345" s="38"/>
      <c r="I345" s="38"/>
      <c r="J345" s="38"/>
      <c r="K345" s="38"/>
      <c r="L345" s="244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</row>
    <row r="346">
      <c r="A346" s="38"/>
      <c r="B346" s="38"/>
      <c r="C346" s="243"/>
      <c r="D346" s="243"/>
      <c r="E346" s="38"/>
      <c r="F346" s="38"/>
      <c r="G346" s="38"/>
      <c r="H346" s="38"/>
      <c r="I346" s="38"/>
      <c r="J346" s="38"/>
      <c r="K346" s="38"/>
      <c r="L346" s="244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</row>
    <row r="347">
      <c r="A347" s="38"/>
      <c r="B347" s="38"/>
      <c r="C347" s="243"/>
      <c r="D347" s="243"/>
      <c r="E347" s="38"/>
      <c r="F347" s="38"/>
      <c r="G347" s="38"/>
      <c r="H347" s="38"/>
      <c r="I347" s="38"/>
      <c r="J347" s="38"/>
      <c r="K347" s="38"/>
      <c r="L347" s="244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</row>
    <row r="348">
      <c r="A348" s="38"/>
      <c r="B348" s="38"/>
      <c r="C348" s="243"/>
      <c r="D348" s="243"/>
      <c r="E348" s="38"/>
      <c r="F348" s="38"/>
      <c r="G348" s="38"/>
      <c r="H348" s="38"/>
      <c r="I348" s="38"/>
      <c r="J348" s="38"/>
      <c r="K348" s="38"/>
      <c r="L348" s="244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</row>
    <row r="349">
      <c r="A349" s="38"/>
      <c r="B349" s="38"/>
      <c r="C349" s="243"/>
      <c r="D349" s="243"/>
      <c r="E349" s="38"/>
      <c r="F349" s="38"/>
      <c r="G349" s="38"/>
      <c r="H349" s="38"/>
      <c r="I349" s="38"/>
      <c r="J349" s="38"/>
      <c r="K349" s="38"/>
      <c r="L349" s="244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</row>
    <row r="350">
      <c r="A350" s="38"/>
      <c r="B350" s="38"/>
      <c r="C350" s="243"/>
      <c r="D350" s="243"/>
      <c r="E350" s="38"/>
      <c r="F350" s="38"/>
      <c r="G350" s="38"/>
      <c r="H350" s="38"/>
      <c r="I350" s="38"/>
      <c r="J350" s="38"/>
      <c r="K350" s="38"/>
      <c r="L350" s="244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</row>
    <row r="351">
      <c r="A351" s="38"/>
      <c r="B351" s="38"/>
      <c r="C351" s="243"/>
      <c r="D351" s="243"/>
      <c r="E351" s="38"/>
      <c r="F351" s="38"/>
      <c r="G351" s="38"/>
      <c r="H351" s="38"/>
      <c r="I351" s="38"/>
      <c r="J351" s="38"/>
      <c r="K351" s="38"/>
      <c r="L351" s="244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</row>
    <row r="352">
      <c r="A352" s="38"/>
      <c r="B352" s="38"/>
      <c r="C352" s="243"/>
      <c r="D352" s="243"/>
      <c r="E352" s="38"/>
      <c r="F352" s="38"/>
      <c r="G352" s="38"/>
      <c r="H352" s="38"/>
      <c r="I352" s="38"/>
      <c r="J352" s="38"/>
      <c r="K352" s="38"/>
      <c r="L352" s="244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</row>
    <row r="353">
      <c r="A353" s="38"/>
      <c r="B353" s="38"/>
      <c r="C353" s="243"/>
      <c r="D353" s="243"/>
      <c r="E353" s="38"/>
      <c r="F353" s="38"/>
      <c r="G353" s="38"/>
      <c r="H353" s="38"/>
      <c r="I353" s="38"/>
      <c r="J353" s="38"/>
      <c r="K353" s="38"/>
      <c r="L353" s="244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</row>
    <row r="354">
      <c r="A354" s="38"/>
      <c r="B354" s="38"/>
      <c r="C354" s="243"/>
      <c r="D354" s="243"/>
      <c r="E354" s="38"/>
      <c r="F354" s="38"/>
      <c r="G354" s="38"/>
      <c r="H354" s="38"/>
      <c r="I354" s="38"/>
      <c r="J354" s="38"/>
      <c r="K354" s="38"/>
      <c r="L354" s="244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</row>
    <row r="355">
      <c r="A355" s="38"/>
      <c r="B355" s="38"/>
      <c r="C355" s="243"/>
      <c r="D355" s="243"/>
      <c r="E355" s="38"/>
      <c r="F355" s="38"/>
      <c r="G355" s="38"/>
      <c r="H355" s="38"/>
      <c r="I355" s="38"/>
      <c r="J355" s="38"/>
      <c r="K355" s="38"/>
      <c r="L355" s="244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</row>
    <row r="356">
      <c r="A356" s="38"/>
      <c r="B356" s="38"/>
      <c r="C356" s="243"/>
      <c r="D356" s="243"/>
      <c r="E356" s="38"/>
      <c r="F356" s="38"/>
      <c r="G356" s="38"/>
      <c r="H356" s="38"/>
      <c r="I356" s="38"/>
      <c r="J356" s="38"/>
      <c r="K356" s="38"/>
      <c r="L356" s="244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</row>
    <row r="357">
      <c r="A357" s="38"/>
      <c r="B357" s="38"/>
      <c r="C357" s="243"/>
      <c r="D357" s="243"/>
      <c r="E357" s="38"/>
      <c r="F357" s="38"/>
      <c r="G357" s="38"/>
      <c r="H357" s="38"/>
      <c r="I357" s="38"/>
      <c r="J357" s="38"/>
      <c r="K357" s="38"/>
      <c r="L357" s="244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</row>
    <row r="358">
      <c r="A358" s="38"/>
      <c r="B358" s="38"/>
      <c r="C358" s="243"/>
      <c r="D358" s="243"/>
      <c r="E358" s="38"/>
      <c r="F358" s="38"/>
      <c r="G358" s="38"/>
      <c r="H358" s="38"/>
      <c r="I358" s="38"/>
      <c r="J358" s="38"/>
      <c r="K358" s="38"/>
      <c r="L358" s="244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</row>
    <row r="359">
      <c r="A359" s="38"/>
      <c r="B359" s="38"/>
      <c r="C359" s="243"/>
      <c r="D359" s="243"/>
      <c r="E359" s="38"/>
      <c r="F359" s="38"/>
      <c r="G359" s="38"/>
      <c r="H359" s="38"/>
      <c r="I359" s="38"/>
      <c r="J359" s="38"/>
      <c r="K359" s="38"/>
      <c r="L359" s="244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</row>
    <row r="360">
      <c r="A360" s="38"/>
      <c r="B360" s="38"/>
      <c r="C360" s="243"/>
      <c r="D360" s="243"/>
      <c r="E360" s="38"/>
      <c r="F360" s="38"/>
      <c r="G360" s="38"/>
      <c r="H360" s="38"/>
      <c r="I360" s="38"/>
      <c r="J360" s="38"/>
      <c r="K360" s="38"/>
      <c r="L360" s="244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</row>
    <row r="361">
      <c r="A361" s="38"/>
      <c r="B361" s="38"/>
      <c r="C361" s="243"/>
      <c r="D361" s="243"/>
      <c r="E361" s="38"/>
      <c r="F361" s="38"/>
      <c r="G361" s="38"/>
      <c r="H361" s="38"/>
      <c r="I361" s="38"/>
      <c r="J361" s="38"/>
      <c r="K361" s="38"/>
      <c r="L361" s="244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</row>
    <row r="362">
      <c r="A362" s="38"/>
      <c r="B362" s="38"/>
      <c r="C362" s="243"/>
      <c r="D362" s="243"/>
      <c r="E362" s="38"/>
      <c r="F362" s="38"/>
      <c r="G362" s="38"/>
      <c r="H362" s="38"/>
      <c r="I362" s="38"/>
      <c r="J362" s="38"/>
      <c r="K362" s="38"/>
      <c r="L362" s="244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</row>
    <row r="363">
      <c r="A363" s="38"/>
      <c r="B363" s="38"/>
      <c r="C363" s="243"/>
      <c r="D363" s="243"/>
      <c r="E363" s="38"/>
      <c r="F363" s="38"/>
      <c r="G363" s="38"/>
      <c r="H363" s="38"/>
      <c r="I363" s="38"/>
      <c r="J363" s="38"/>
      <c r="K363" s="38"/>
      <c r="L363" s="244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</row>
    <row r="364">
      <c r="A364" s="38"/>
      <c r="B364" s="38"/>
      <c r="C364" s="243"/>
      <c r="D364" s="243"/>
      <c r="E364" s="38"/>
      <c r="F364" s="38"/>
      <c r="G364" s="38"/>
      <c r="H364" s="38"/>
      <c r="I364" s="38"/>
      <c r="J364" s="38"/>
      <c r="K364" s="38"/>
      <c r="L364" s="244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</row>
    <row r="365">
      <c r="A365" s="38"/>
      <c r="B365" s="38"/>
      <c r="C365" s="243"/>
      <c r="D365" s="243"/>
      <c r="E365" s="38"/>
      <c r="F365" s="38"/>
      <c r="G365" s="38"/>
      <c r="H365" s="38"/>
      <c r="I365" s="38"/>
      <c r="J365" s="38"/>
      <c r="K365" s="38"/>
      <c r="L365" s="244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</row>
    <row r="366">
      <c r="A366" s="38"/>
      <c r="B366" s="38"/>
      <c r="C366" s="243"/>
      <c r="D366" s="243"/>
      <c r="E366" s="38"/>
      <c r="F366" s="38"/>
      <c r="G366" s="38"/>
      <c r="H366" s="38"/>
      <c r="I366" s="38"/>
      <c r="J366" s="38"/>
      <c r="K366" s="38"/>
      <c r="L366" s="244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</row>
    <row r="367">
      <c r="A367" s="38"/>
      <c r="B367" s="38"/>
      <c r="C367" s="243"/>
      <c r="D367" s="243"/>
      <c r="E367" s="38"/>
      <c r="F367" s="38"/>
      <c r="G367" s="38"/>
      <c r="H367" s="38"/>
      <c r="I367" s="38"/>
      <c r="J367" s="38"/>
      <c r="K367" s="38"/>
      <c r="L367" s="244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</row>
    <row r="368">
      <c r="A368" s="38"/>
      <c r="B368" s="38"/>
      <c r="C368" s="243"/>
      <c r="D368" s="243"/>
      <c r="E368" s="38"/>
      <c r="F368" s="38"/>
      <c r="G368" s="38"/>
      <c r="H368" s="38"/>
      <c r="I368" s="38"/>
      <c r="J368" s="38"/>
      <c r="K368" s="38"/>
      <c r="L368" s="244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</row>
    <row r="369">
      <c r="A369" s="38"/>
      <c r="B369" s="38"/>
      <c r="C369" s="243"/>
      <c r="D369" s="243"/>
      <c r="E369" s="38"/>
      <c r="F369" s="38"/>
      <c r="G369" s="38"/>
      <c r="H369" s="38"/>
      <c r="I369" s="38"/>
      <c r="J369" s="38"/>
      <c r="K369" s="38"/>
      <c r="L369" s="244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</row>
    <row r="370">
      <c r="A370" s="38"/>
      <c r="B370" s="38"/>
      <c r="C370" s="243"/>
      <c r="D370" s="243"/>
      <c r="E370" s="38"/>
      <c r="F370" s="38"/>
      <c r="G370" s="38"/>
      <c r="H370" s="38"/>
      <c r="I370" s="38"/>
      <c r="J370" s="38"/>
      <c r="K370" s="38"/>
      <c r="L370" s="244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</row>
    <row r="371">
      <c r="A371" s="38"/>
      <c r="B371" s="38"/>
      <c r="C371" s="243"/>
      <c r="D371" s="243"/>
      <c r="E371" s="38"/>
      <c r="F371" s="38"/>
      <c r="G371" s="38"/>
      <c r="H371" s="38"/>
      <c r="I371" s="38"/>
      <c r="J371" s="38"/>
      <c r="K371" s="38"/>
      <c r="L371" s="244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</row>
    <row r="372">
      <c r="A372" s="38"/>
      <c r="B372" s="38"/>
      <c r="C372" s="243"/>
      <c r="D372" s="243"/>
      <c r="E372" s="38"/>
      <c r="F372" s="38"/>
      <c r="G372" s="38"/>
      <c r="H372" s="38"/>
      <c r="I372" s="38"/>
      <c r="J372" s="38"/>
      <c r="K372" s="38"/>
      <c r="L372" s="244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</row>
    <row r="373">
      <c r="A373" s="38"/>
      <c r="B373" s="38"/>
      <c r="C373" s="243"/>
      <c r="D373" s="243"/>
      <c r="E373" s="38"/>
      <c r="F373" s="38"/>
      <c r="G373" s="38"/>
      <c r="H373" s="38"/>
      <c r="I373" s="38"/>
      <c r="J373" s="38"/>
      <c r="K373" s="38"/>
      <c r="L373" s="244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</row>
    <row r="374">
      <c r="A374" s="38"/>
      <c r="B374" s="38"/>
      <c r="C374" s="243"/>
      <c r="D374" s="243"/>
      <c r="E374" s="38"/>
      <c r="F374" s="38"/>
      <c r="G374" s="38"/>
      <c r="H374" s="38"/>
      <c r="I374" s="38"/>
      <c r="J374" s="38"/>
      <c r="K374" s="38"/>
      <c r="L374" s="244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</row>
    <row r="375">
      <c r="A375" s="38"/>
      <c r="B375" s="38"/>
      <c r="C375" s="243"/>
      <c r="D375" s="243"/>
      <c r="E375" s="38"/>
      <c r="F375" s="38"/>
      <c r="G375" s="38"/>
      <c r="H375" s="38"/>
      <c r="I375" s="38"/>
      <c r="J375" s="38"/>
      <c r="K375" s="38"/>
      <c r="L375" s="244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</row>
    <row r="376">
      <c r="A376" s="38"/>
      <c r="B376" s="38"/>
      <c r="C376" s="243"/>
      <c r="D376" s="243"/>
      <c r="E376" s="38"/>
      <c r="F376" s="38"/>
      <c r="G376" s="38"/>
      <c r="H376" s="38"/>
      <c r="I376" s="38"/>
      <c r="J376" s="38"/>
      <c r="K376" s="38"/>
      <c r="L376" s="244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</row>
    <row r="377">
      <c r="A377" s="38"/>
      <c r="B377" s="38"/>
      <c r="C377" s="243"/>
      <c r="D377" s="243"/>
      <c r="E377" s="38"/>
      <c r="F377" s="38"/>
      <c r="G377" s="38"/>
      <c r="H377" s="38"/>
      <c r="I377" s="38"/>
      <c r="J377" s="38"/>
      <c r="K377" s="38"/>
      <c r="L377" s="244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</row>
    <row r="378">
      <c r="A378" s="38"/>
      <c r="B378" s="38"/>
      <c r="C378" s="243"/>
      <c r="D378" s="243"/>
      <c r="E378" s="38"/>
      <c r="F378" s="38"/>
      <c r="G378" s="38"/>
      <c r="H378" s="38"/>
      <c r="I378" s="38"/>
      <c r="J378" s="38"/>
      <c r="K378" s="38"/>
      <c r="L378" s="244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</row>
    <row r="379">
      <c r="A379" s="38"/>
      <c r="B379" s="38"/>
      <c r="C379" s="243"/>
      <c r="D379" s="243"/>
      <c r="E379" s="38"/>
      <c r="F379" s="38"/>
      <c r="G379" s="38"/>
      <c r="H379" s="38"/>
      <c r="I379" s="38"/>
      <c r="J379" s="38"/>
      <c r="K379" s="38"/>
      <c r="L379" s="244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</row>
    <row r="380">
      <c r="A380" s="38"/>
      <c r="B380" s="38"/>
      <c r="C380" s="243"/>
      <c r="D380" s="243"/>
      <c r="E380" s="38"/>
      <c r="F380" s="38"/>
      <c r="G380" s="38"/>
      <c r="H380" s="38"/>
      <c r="I380" s="38"/>
      <c r="J380" s="38"/>
      <c r="K380" s="38"/>
      <c r="L380" s="244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</row>
    <row r="381">
      <c r="A381" s="38"/>
      <c r="B381" s="38"/>
      <c r="C381" s="243"/>
      <c r="D381" s="243"/>
      <c r="E381" s="38"/>
      <c r="F381" s="38"/>
      <c r="G381" s="38"/>
      <c r="H381" s="38"/>
      <c r="I381" s="38"/>
      <c r="J381" s="38"/>
      <c r="K381" s="38"/>
      <c r="L381" s="244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</row>
    <row r="382">
      <c r="A382" s="38"/>
      <c r="B382" s="38"/>
      <c r="C382" s="243"/>
      <c r="D382" s="243"/>
      <c r="E382" s="38"/>
      <c r="F382" s="38"/>
      <c r="G382" s="38"/>
      <c r="H382" s="38"/>
      <c r="I382" s="38"/>
      <c r="J382" s="38"/>
      <c r="K382" s="38"/>
      <c r="L382" s="244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</row>
    <row r="383">
      <c r="A383" s="38"/>
      <c r="B383" s="38"/>
      <c r="C383" s="243"/>
      <c r="D383" s="243"/>
      <c r="E383" s="38"/>
      <c r="F383" s="38"/>
      <c r="G383" s="38"/>
      <c r="H383" s="38"/>
      <c r="I383" s="38"/>
      <c r="J383" s="38"/>
      <c r="K383" s="38"/>
      <c r="L383" s="244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</row>
    <row r="384">
      <c r="A384" s="38"/>
      <c r="B384" s="38"/>
      <c r="C384" s="243"/>
      <c r="D384" s="243"/>
      <c r="E384" s="38"/>
      <c r="F384" s="38"/>
      <c r="G384" s="38"/>
      <c r="H384" s="38"/>
      <c r="I384" s="38"/>
      <c r="J384" s="38"/>
      <c r="K384" s="38"/>
      <c r="L384" s="244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</row>
    <row r="385">
      <c r="A385" s="38"/>
      <c r="B385" s="38"/>
      <c r="C385" s="243"/>
      <c r="D385" s="243"/>
      <c r="E385" s="38"/>
      <c r="F385" s="38"/>
      <c r="G385" s="38"/>
      <c r="H385" s="38"/>
      <c r="I385" s="38"/>
      <c r="J385" s="38"/>
      <c r="K385" s="38"/>
      <c r="L385" s="244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</row>
    <row r="386">
      <c r="A386" s="38"/>
      <c r="B386" s="38"/>
      <c r="C386" s="243"/>
      <c r="D386" s="243"/>
      <c r="E386" s="38"/>
      <c r="F386" s="38"/>
      <c r="G386" s="38"/>
      <c r="H386" s="38"/>
      <c r="I386" s="38"/>
      <c r="J386" s="38"/>
      <c r="K386" s="38"/>
      <c r="L386" s="244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</row>
    <row r="387">
      <c r="A387" s="38"/>
      <c r="B387" s="38"/>
      <c r="C387" s="243"/>
      <c r="D387" s="243"/>
      <c r="E387" s="38"/>
      <c r="F387" s="38"/>
      <c r="G387" s="38"/>
      <c r="H387" s="38"/>
      <c r="I387" s="38"/>
      <c r="J387" s="38"/>
      <c r="K387" s="38"/>
      <c r="L387" s="244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</row>
    <row r="388">
      <c r="A388" s="38"/>
      <c r="B388" s="38"/>
      <c r="C388" s="243"/>
      <c r="D388" s="243"/>
      <c r="E388" s="38"/>
      <c r="F388" s="38"/>
      <c r="G388" s="38"/>
      <c r="H388" s="38"/>
      <c r="I388" s="38"/>
      <c r="J388" s="38"/>
      <c r="K388" s="38"/>
      <c r="L388" s="244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</row>
    <row r="389">
      <c r="A389" s="38"/>
      <c r="B389" s="38"/>
      <c r="C389" s="243"/>
      <c r="D389" s="243"/>
      <c r="E389" s="38"/>
      <c r="F389" s="38"/>
      <c r="G389" s="38"/>
      <c r="H389" s="38"/>
      <c r="I389" s="38"/>
      <c r="J389" s="38"/>
      <c r="K389" s="38"/>
      <c r="L389" s="244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</row>
    <row r="390">
      <c r="A390" s="38"/>
      <c r="B390" s="38"/>
      <c r="C390" s="243"/>
      <c r="D390" s="243"/>
      <c r="E390" s="38"/>
      <c r="F390" s="38"/>
      <c r="G390" s="38"/>
      <c r="H390" s="38"/>
      <c r="I390" s="38"/>
      <c r="J390" s="38"/>
      <c r="K390" s="38"/>
      <c r="L390" s="244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</row>
    <row r="391">
      <c r="A391" s="38"/>
      <c r="B391" s="38"/>
      <c r="C391" s="243"/>
      <c r="D391" s="243"/>
      <c r="E391" s="38"/>
      <c r="F391" s="38"/>
      <c r="G391" s="38"/>
      <c r="H391" s="38"/>
      <c r="I391" s="38"/>
      <c r="J391" s="38"/>
      <c r="K391" s="38"/>
      <c r="L391" s="244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</row>
    <row r="392">
      <c r="A392" s="38"/>
      <c r="B392" s="38"/>
      <c r="C392" s="243"/>
      <c r="D392" s="243"/>
      <c r="E392" s="38"/>
      <c r="F392" s="38"/>
      <c r="G392" s="38"/>
      <c r="H392" s="38"/>
      <c r="I392" s="38"/>
      <c r="J392" s="38"/>
      <c r="K392" s="38"/>
      <c r="L392" s="244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</row>
    <row r="393">
      <c r="A393" s="38"/>
      <c r="B393" s="38"/>
      <c r="C393" s="243"/>
      <c r="D393" s="243"/>
      <c r="E393" s="38"/>
      <c r="F393" s="38"/>
      <c r="G393" s="38"/>
      <c r="H393" s="38"/>
      <c r="I393" s="38"/>
      <c r="J393" s="38"/>
      <c r="K393" s="38"/>
      <c r="L393" s="244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</row>
    <row r="394">
      <c r="A394" s="38"/>
      <c r="B394" s="38"/>
      <c r="C394" s="243"/>
      <c r="D394" s="243"/>
      <c r="E394" s="38"/>
      <c r="F394" s="38"/>
      <c r="G394" s="38"/>
      <c r="H394" s="38"/>
      <c r="I394" s="38"/>
      <c r="J394" s="38"/>
      <c r="K394" s="38"/>
      <c r="L394" s="244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</row>
    <row r="395">
      <c r="A395" s="38"/>
      <c r="B395" s="38"/>
      <c r="C395" s="243"/>
      <c r="D395" s="243"/>
      <c r="E395" s="38"/>
      <c r="F395" s="38"/>
      <c r="G395" s="38"/>
      <c r="H395" s="38"/>
      <c r="I395" s="38"/>
      <c r="J395" s="38"/>
      <c r="K395" s="38"/>
      <c r="L395" s="244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</row>
    <row r="396">
      <c r="A396" s="38"/>
      <c r="B396" s="38"/>
      <c r="C396" s="243"/>
      <c r="D396" s="243"/>
      <c r="E396" s="38"/>
      <c r="F396" s="38"/>
      <c r="G396" s="38"/>
      <c r="H396" s="38"/>
      <c r="I396" s="38"/>
      <c r="J396" s="38"/>
      <c r="K396" s="38"/>
      <c r="L396" s="244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</row>
    <row r="397">
      <c r="A397" s="38"/>
      <c r="B397" s="38"/>
      <c r="C397" s="243"/>
      <c r="D397" s="243"/>
      <c r="E397" s="38"/>
      <c r="F397" s="38"/>
      <c r="G397" s="38"/>
      <c r="H397" s="38"/>
      <c r="I397" s="38"/>
      <c r="J397" s="38"/>
      <c r="K397" s="38"/>
      <c r="L397" s="244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</row>
    <row r="398">
      <c r="A398" s="38"/>
      <c r="B398" s="38"/>
      <c r="C398" s="243"/>
      <c r="D398" s="243"/>
      <c r="E398" s="38"/>
      <c r="F398" s="38"/>
      <c r="G398" s="38"/>
      <c r="H398" s="38"/>
      <c r="I398" s="38"/>
      <c r="J398" s="38"/>
      <c r="K398" s="38"/>
      <c r="L398" s="244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</row>
    <row r="399">
      <c r="A399" s="38"/>
      <c r="B399" s="38"/>
      <c r="C399" s="243"/>
      <c r="D399" s="243"/>
      <c r="E399" s="38"/>
      <c r="F399" s="38"/>
      <c r="G399" s="38"/>
      <c r="H399" s="38"/>
      <c r="I399" s="38"/>
      <c r="J399" s="38"/>
      <c r="K399" s="38"/>
      <c r="L399" s="244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</row>
    <row r="400">
      <c r="A400" s="38"/>
      <c r="B400" s="38"/>
      <c r="C400" s="243"/>
      <c r="D400" s="243"/>
      <c r="E400" s="38"/>
      <c r="F400" s="38"/>
      <c r="G400" s="38"/>
      <c r="H400" s="38"/>
      <c r="I400" s="38"/>
      <c r="J400" s="38"/>
      <c r="K400" s="38"/>
      <c r="L400" s="244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</row>
    <row r="401">
      <c r="A401" s="38"/>
      <c r="B401" s="38"/>
      <c r="C401" s="243"/>
      <c r="D401" s="243"/>
      <c r="E401" s="38"/>
      <c r="F401" s="38"/>
      <c r="G401" s="38"/>
      <c r="H401" s="38"/>
      <c r="I401" s="38"/>
      <c r="J401" s="38"/>
      <c r="K401" s="38"/>
      <c r="L401" s="244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</row>
    <row r="402">
      <c r="A402" s="38"/>
      <c r="B402" s="38"/>
      <c r="C402" s="243"/>
      <c r="D402" s="243"/>
      <c r="E402" s="38"/>
      <c r="F402" s="38"/>
      <c r="G402" s="38"/>
      <c r="H402" s="38"/>
      <c r="I402" s="38"/>
      <c r="J402" s="38"/>
      <c r="K402" s="38"/>
      <c r="L402" s="244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</row>
    <row r="403">
      <c r="A403" s="38"/>
      <c r="B403" s="38"/>
      <c r="C403" s="243"/>
      <c r="D403" s="243"/>
      <c r="E403" s="38"/>
      <c r="F403" s="38"/>
      <c r="G403" s="38"/>
      <c r="H403" s="38"/>
      <c r="I403" s="38"/>
      <c r="J403" s="38"/>
      <c r="K403" s="38"/>
      <c r="L403" s="244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</row>
    <row r="404">
      <c r="A404" s="38"/>
      <c r="B404" s="38"/>
      <c r="C404" s="243"/>
      <c r="D404" s="243"/>
      <c r="E404" s="38"/>
      <c r="F404" s="38"/>
      <c r="G404" s="38"/>
      <c r="H404" s="38"/>
      <c r="I404" s="38"/>
      <c r="J404" s="38"/>
      <c r="K404" s="38"/>
      <c r="L404" s="244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</row>
    <row r="405">
      <c r="A405" s="38"/>
      <c r="B405" s="38"/>
      <c r="C405" s="243"/>
      <c r="D405" s="243"/>
      <c r="E405" s="38"/>
      <c r="F405" s="38"/>
      <c r="G405" s="38"/>
      <c r="H405" s="38"/>
      <c r="I405" s="38"/>
      <c r="J405" s="38"/>
      <c r="K405" s="38"/>
      <c r="L405" s="244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</row>
    <row r="406">
      <c r="A406" s="38"/>
      <c r="B406" s="38"/>
      <c r="C406" s="243"/>
      <c r="D406" s="243"/>
      <c r="E406" s="38"/>
      <c r="F406" s="38"/>
      <c r="G406" s="38"/>
      <c r="H406" s="38"/>
      <c r="I406" s="38"/>
      <c r="J406" s="38"/>
      <c r="K406" s="38"/>
      <c r="L406" s="244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</row>
    <row r="407">
      <c r="A407" s="38"/>
      <c r="B407" s="38"/>
      <c r="C407" s="243"/>
      <c r="D407" s="243"/>
      <c r="E407" s="38"/>
      <c r="F407" s="38"/>
      <c r="G407" s="38"/>
      <c r="H407" s="38"/>
      <c r="I407" s="38"/>
      <c r="J407" s="38"/>
      <c r="K407" s="38"/>
      <c r="L407" s="244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</row>
    <row r="408">
      <c r="A408" s="38"/>
      <c r="B408" s="38"/>
      <c r="C408" s="243"/>
      <c r="D408" s="243"/>
      <c r="E408" s="38"/>
      <c r="F408" s="38"/>
      <c r="G408" s="38"/>
      <c r="H408" s="38"/>
      <c r="I408" s="38"/>
      <c r="J408" s="38"/>
      <c r="K408" s="38"/>
      <c r="L408" s="244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</row>
    <row r="409">
      <c r="A409" s="38"/>
      <c r="B409" s="38"/>
      <c r="C409" s="243"/>
      <c r="D409" s="243"/>
      <c r="E409" s="38"/>
      <c r="F409" s="38"/>
      <c r="G409" s="38"/>
      <c r="H409" s="38"/>
      <c r="I409" s="38"/>
      <c r="J409" s="38"/>
      <c r="K409" s="38"/>
      <c r="L409" s="244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</row>
    <row r="410">
      <c r="A410" s="38"/>
      <c r="B410" s="38"/>
      <c r="C410" s="243"/>
      <c r="D410" s="243"/>
      <c r="E410" s="38"/>
      <c r="F410" s="38"/>
      <c r="G410" s="38"/>
      <c r="H410" s="38"/>
      <c r="I410" s="38"/>
      <c r="J410" s="38"/>
      <c r="K410" s="38"/>
      <c r="L410" s="244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</row>
    <row r="411">
      <c r="A411" s="38"/>
      <c r="B411" s="38"/>
      <c r="C411" s="243"/>
      <c r="D411" s="243"/>
      <c r="E411" s="38"/>
      <c r="F411" s="38"/>
      <c r="G411" s="38"/>
      <c r="H411" s="38"/>
      <c r="I411" s="38"/>
      <c r="J411" s="38"/>
      <c r="K411" s="38"/>
      <c r="L411" s="244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</row>
    <row r="412">
      <c r="A412" s="38"/>
      <c r="B412" s="38"/>
      <c r="C412" s="243"/>
      <c r="D412" s="243"/>
      <c r="E412" s="38"/>
      <c r="F412" s="38"/>
      <c r="G412" s="38"/>
      <c r="H412" s="38"/>
      <c r="I412" s="38"/>
      <c r="J412" s="38"/>
      <c r="K412" s="38"/>
      <c r="L412" s="244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</row>
    <row r="413">
      <c r="A413" s="38"/>
      <c r="B413" s="38"/>
      <c r="C413" s="243"/>
      <c r="D413" s="243"/>
      <c r="E413" s="38"/>
      <c r="F413" s="38"/>
      <c r="G413" s="38"/>
      <c r="H413" s="38"/>
      <c r="I413" s="38"/>
      <c r="J413" s="38"/>
      <c r="K413" s="38"/>
      <c r="L413" s="244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</row>
    <row r="414">
      <c r="A414" s="38"/>
      <c r="B414" s="38"/>
      <c r="C414" s="243"/>
      <c r="D414" s="243"/>
      <c r="E414" s="38"/>
      <c r="F414" s="38"/>
      <c r="G414" s="38"/>
      <c r="H414" s="38"/>
      <c r="I414" s="38"/>
      <c r="J414" s="38"/>
      <c r="K414" s="38"/>
      <c r="L414" s="244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</row>
    <row r="415">
      <c r="A415" s="38"/>
      <c r="B415" s="38"/>
      <c r="C415" s="243"/>
      <c r="D415" s="243"/>
      <c r="E415" s="38"/>
      <c r="F415" s="38"/>
      <c r="G415" s="38"/>
      <c r="H415" s="38"/>
      <c r="I415" s="38"/>
      <c r="J415" s="38"/>
      <c r="K415" s="38"/>
      <c r="L415" s="244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</row>
    <row r="416">
      <c r="A416" s="38"/>
      <c r="B416" s="38"/>
      <c r="C416" s="243"/>
      <c r="D416" s="243"/>
      <c r="E416" s="38"/>
      <c r="F416" s="38"/>
      <c r="G416" s="38"/>
      <c r="H416" s="38"/>
      <c r="I416" s="38"/>
      <c r="J416" s="38"/>
      <c r="K416" s="38"/>
      <c r="L416" s="244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</row>
    <row r="417">
      <c r="A417" s="38"/>
      <c r="B417" s="38"/>
      <c r="C417" s="243"/>
      <c r="D417" s="243"/>
      <c r="E417" s="38"/>
      <c r="F417" s="38"/>
      <c r="G417" s="38"/>
      <c r="H417" s="38"/>
      <c r="I417" s="38"/>
      <c r="J417" s="38"/>
      <c r="K417" s="38"/>
      <c r="L417" s="244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</row>
    <row r="418">
      <c r="A418" s="38"/>
      <c r="B418" s="38"/>
      <c r="C418" s="243"/>
      <c r="D418" s="243"/>
      <c r="E418" s="38"/>
      <c r="F418" s="38"/>
      <c r="G418" s="38"/>
      <c r="H418" s="38"/>
      <c r="I418" s="38"/>
      <c r="J418" s="38"/>
      <c r="K418" s="38"/>
      <c r="L418" s="244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</row>
    <row r="419">
      <c r="A419" s="38"/>
      <c r="B419" s="38"/>
      <c r="C419" s="243"/>
      <c r="D419" s="243"/>
      <c r="E419" s="38"/>
      <c r="F419" s="38"/>
      <c r="G419" s="38"/>
      <c r="H419" s="38"/>
      <c r="I419" s="38"/>
      <c r="J419" s="38"/>
      <c r="K419" s="38"/>
      <c r="L419" s="244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</row>
    <row r="420">
      <c r="A420" s="38"/>
      <c r="B420" s="38"/>
      <c r="C420" s="243"/>
      <c r="D420" s="243"/>
      <c r="E420" s="38"/>
      <c r="F420" s="38"/>
      <c r="G420" s="38"/>
      <c r="H420" s="38"/>
      <c r="I420" s="38"/>
      <c r="J420" s="38"/>
      <c r="K420" s="38"/>
      <c r="L420" s="244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</row>
    <row r="421">
      <c r="A421" s="38"/>
      <c r="B421" s="38"/>
      <c r="C421" s="243"/>
      <c r="D421" s="243"/>
      <c r="E421" s="38"/>
      <c r="F421" s="38"/>
      <c r="G421" s="38"/>
      <c r="H421" s="38"/>
      <c r="I421" s="38"/>
      <c r="J421" s="38"/>
      <c r="K421" s="38"/>
      <c r="L421" s="244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</row>
    <row r="422">
      <c r="A422" s="38"/>
      <c r="B422" s="38"/>
      <c r="C422" s="243"/>
      <c r="D422" s="243"/>
      <c r="E422" s="38"/>
      <c r="F422" s="38"/>
      <c r="G422" s="38"/>
      <c r="H422" s="38"/>
      <c r="I422" s="38"/>
      <c r="J422" s="38"/>
      <c r="K422" s="38"/>
      <c r="L422" s="244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</row>
    <row r="423">
      <c r="A423" s="38"/>
      <c r="B423" s="38"/>
      <c r="C423" s="243"/>
      <c r="D423" s="243"/>
      <c r="E423" s="38"/>
      <c r="F423" s="38"/>
      <c r="G423" s="38"/>
      <c r="H423" s="38"/>
      <c r="I423" s="38"/>
      <c r="J423" s="38"/>
      <c r="K423" s="38"/>
      <c r="L423" s="244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</row>
    <row r="424">
      <c r="A424" s="38"/>
      <c r="B424" s="38"/>
      <c r="C424" s="243"/>
      <c r="D424" s="243"/>
      <c r="E424" s="38"/>
      <c r="F424" s="38"/>
      <c r="G424" s="38"/>
      <c r="H424" s="38"/>
      <c r="I424" s="38"/>
      <c r="J424" s="38"/>
      <c r="K424" s="38"/>
      <c r="L424" s="244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</row>
    <row r="425">
      <c r="A425" s="38"/>
      <c r="B425" s="38"/>
      <c r="C425" s="243"/>
      <c r="D425" s="243"/>
      <c r="E425" s="38"/>
      <c r="F425" s="38"/>
      <c r="G425" s="38"/>
      <c r="H425" s="38"/>
      <c r="I425" s="38"/>
      <c r="J425" s="38"/>
      <c r="K425" s="38"/>
      <c r="L425" s="244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</row>
    <row r="426">
      <c r="A426" s="38"/>
      <c r="B426" s="38"/>
      <c r="C426" s="243"/>
      <c r="D426" s="243"/>
      <c r="E426" s="38"/>
      <c r="F426" s="38"/>
      <c r="G426" s="38"/>
      <c r="H426" s="38"/>
      <c r="I426" s="38"/>
      <c r="J426" s="38"/>
      <c r="K426" s="38"/>
      <c r="L426" s="244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</row>
    <row r="427">
      <c r="A427" s="38"/>
      <c r="B427" s="38"/>
      <c r="C427" s="243"/>
      <c r="D427" s="243"/>
      <c r="E427" s="38"/>
      <c r="F427" s="38"/>
      <c r="G427" s="38"/>
      <c r="H427" s="38"/>
      <c r="I427" s="38"/>
      <c r="J427" s="38"/>
      <c r="K427" s="38"/>
      <c r="L427" s="244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</row>
    <row r="428">
      <c r="A428" s="38"/>
      <c r="B428" s="38"/>
      <c r="C428" s="243"/>
      <c r="D428" s="243"/>
      <c r="E428" s="38"/>
      <c r="F428" s="38"/>
      <c r="G428" s="38"/>
      <c r="H428" s="38"/>
      <c r="I428" s="38"/>
      <c r="J428" s="38"/>
      <c r="K428" s="38"/>
      <c r="L428" s="244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</row>
    <row r="429">
      <c r="A429" s="38"/>
      <c r="B429" s="38"/>
      <c r="C429" s="243"/>
      <c r="D429" s="243"/>
      <c r="E429" s="38"/>
      <c r="F429" s="38"/>
      <c r="G429" s="38"/>
      <c r="H429" s="38"/>
      <c r="I429" s="38"/>
      <c r="J429" s="38"/>
      <c r="K429" s="38"/>
      <c r="L429" s="244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</row>
    <row r="430">
      <c r="A430" s="38"/>
      <c r="B430" s="38"/>
      <c r="C430" s="243"/>
      <c r="D430" s="243"/>
      <c r="E430" s="38"/>
      <c r="F430" s="38"/>
      <c r="G430" s="38"/>
      <c r="H430" s="38"/>
      <c r="I430" s="38"/>
      <c r="J430" s="38"/>
      <c r="K430" s="38"/>
      <c r="L430" s="244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</row>
    <row r="431">
      <c r="A431" s="38"/>
      <c r="B431" s="38"/>
      <c r="C431" s="243"/>
      <c r="D431" s="243"/>
      <c r="E431" s="38"/>
      <c r="F431" s="38"/>
      <c r="G431" s="38"/>
      <c r="H431" s="38"/>
      <c r="I431" s="38"/>
      <c r="J431" s="38"/>
      <c r="K431" s="38"/>
      <c r="L431" s="244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</row>
    <row r="432">
      <c r="A432" s="38"/>
      <c r="B432" s="38"/>
      <c r="C432" s="243"/>
      <c r="D432" s="243"/>
      <c r="E432" s="38"/>
      <c r="F432" s="38"/>
      <c r="G432" s="38"/>
      <c r="H432" s="38"/>
      <c r="I432" s="38"/>
      <c r="J432" s="38"/>
      <c r="K432" s="38"/>
      <c r="L432" s="244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</row>
    <row r="433">
      <c r="A433" s="38"/>
      <c r="B433" s="38"/>
      <c r="C433" s="243"/>
      <c r="D433" s="243"/>
      <c r="E433" s="38"/>
      <c r="F433" s="38"/>
      <c r="G433" s="38"/>
      <c r="H433" s="38"/>
      <c r="I433" s="38"/>
      <c r="J433" s="38"/>
      <c r="K433" s="38"/>
      <c r="L433" s="244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</row>
    <row r="434">
      <c r="A434" s="38"/>
      <c r="B434" s="38"/>
      <c r="C434" s="243"/>
      <c r="D434" s="243"/>
      <c r="E434" s="38"/>
      <c r="F434" s="38"/>
      <c r="G434" s="38"/>
      <c r="H434" s="38"/>
      <c r="I434" s="38"/>
      <c r="J434" s="38"/>
      <c r="K434" s="38"/>
      <c r="L434" s="244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</row>
    <row r="435">
      <c r="A435" s="38"/>
      <c r="B435" s="38"/>
      <c r="C435" s="243"/>
      <c r="D435" s="243"/>
      <c r="E435" s="38"/>
      <c r="F435" s="38"/>
      <c r="G435" s="38"/>
      <c r="H435" s="38"/>
      <c r="I435" s="38"/>
      <c r="J435" s="38"/>
      <c r="K435" s="38"/>
      <c r="L435" s="244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</row>
    <row r="436">
      <c r="A436" s="38"/>
      <c r="B436" s="38"/>
      <c r="C436" s="243"/>
      <c r="D436" s="243"/>
      <c r="E436" s="38"/>
      <c r="F436" s="38"/>
      <c r="G436" s="38"/>
      <c r="H436" s="38"/>
      <c r="I436" s="38"/>
      <c r="J436" s="38"/>
      <c r="K436" s="38"/>
      <c r="L436" s="244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</row>
    <row r="437">
      <c r="A437" s="38"/>
      <c r="B437" s="38"/>
      <c r="C437" s="243"/>
      <c r="D437" s="243"/>
      <c r="E437" s="38"/>
      <c r="F437" s="38"/>
      <c r="G437" s="38"/>
      <c r="H437" s="38"/>
      <c r="I437" s="38"/>
      <c r="J437" s="38"/>
      <c r="K437" s="38"/>
      <c r="L437" s="244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</row>
    <row r="438">
      <c r="A438" s="38"/>
      <c r="B438" s="38"/>
      <c r="C438" s="243"/>
      <c r="D438" s="243"/>
      <c r="E438" s="38"/>
      <c r="F438" s="38"/>
      <c r="G438" s="38"/>
      <c r="H438" s="38"/>
      <c r="I438" s="38"/>
      <c r="J438" s="38"/>
      <c r="K438" s="38"/>
      <c r="L438" s="244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</row>
    <row r="439">
      <c r="A439" s="38"/>
      <c r="B439" s="38"/>
      <c r="C439" s="243"/>
      <c r="D439" s="243"/>
      <c r="E439" s="38"/>
      <c r="F439" s="38"/>
      <c r="G439" s="38"/>
      <c r="H439" s="38"/>
      <c r="I439" s="38"/>
      <c r="J439" s="38"/>
      <c r="K439" s="38"/>
      <c r="L439" s="244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</row>
    <row r="440">
      <c r="A440" s="38"/>
      <c r="B440" s="38"/>
      <c r="C440" s="243"/>
      <c r="D440" s="243"/>
      <c r="E440" s="38"/>
      <c r="F440" s="38"/>
      <c r="G440" s="38"/>
      <c r="H440" s="38"/>
      <c r="I440" s="38"/>
      <c r="J440" s="38"/>
      <c r="K440" s="38"/>
      <c r="L440" s="244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</row>
    <row r="441">
      <c r="A441" s="38"/>
      <c r="B441" s="38"/>
      <c r="C441" s="243"/>
      <c r="D441" s="243"/>
      <c r="E441" s="38"/>
      <c r="F441" s="38"/>
      <c r="G441" s="38"/>
      <c r="H441" s="38"/>
      <c r="I441" s="38"/>
      <c r="J441" s="38"/>
      <c r="K441" s="38"/>
      <c r="L441" s="244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</row>
    <row r="442">
      <c r="A442" s="38"/>
      <c r="B442" s="38"/>
      <c r="C442" s="243"/>
      <c r="D442" s="243"/>
      <c r="E442" s="38"/>
      <c r="F442" s="38"/>
      <c r="G442" s="38"/>
      <c r="H442" s="38"/>
      <c r="I442" s="38"/>
      <c r="J442" s="38"/>
      <c r="K442" s="38"/>
      <c r="L442" s="244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</row>
    <row r="443">
      <c r="A443" s="38"/>
      <c r="B443" s="38"/>
      <c r="C443" s="243"/>
      <c r="D443" s="243"/>
      <c r="E443" s="38"/>
      <c r="F443" s="38"/>
      <c r="G443" s="38"/>
      <c r="H443" s="38"/>
      <c r="I443" s="38"/>
      <c r="J443" s="38"/>
      <c r="K443" s="38"/>
      <c r="L443" s="244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</row>
    <row r="444">
      <c r="A444" s="38"/>
      <c r="B444" s="38"/>
      <c r="C444" s="243"/>
      <c r="D444" s="243"/>
      <c r="E444" s="38"/>
      <c r="F444" s="38"/>
      <c r="G444" s="38"/>
      <c r="H444" s="38"/>
      <c r="I444" s="38"/>
      <c r="J444" s="38"/>
      <c r="K444" s="38"/>
      <c r="L444" s="244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</row>
    <row r="445">
      <c r="A445" s="38"/>
      <c r="B445" s="38"/>
      <c r="C445" s="243"/>
      <c r="D445" s="243"/>
      <c r="E445" s="38"/>
      <c r="F445" s="38"/>
      <c r="G445" s="38"/>
      <c r="H445" s="38"/>
      <c r="I445" s="38"/>
      <c r="J445" s="38"/>
      <c r="K445" s="38"/>
      <c r="L445" s="244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</row>
    <row r="446">
      <c r="A446" s="38"/>
      <c r="B446" s="38"/>
      <c r="C446" s="243"/>
      <c r="D446" s="243"/>
      <c r="E446" s="38"/>
      <c r="F446" s="38"/>
      <c r="G446" s="38"/>
      <c r="H446" s="38"/>
      <c r="I446" s="38"/>
      <c r="J446" s="38"/>
      <c r="K446" s="38"/>
      <c r="L446" s="244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</row>
    <row r="447">
      <c r="A447" s="38"/>
      <c r="B447" s="38"/>
      <c r="C447" s="243"/>
      <c r="D447" s="243"/>
      <c r="E447" s="38"/>
      <c r="F447" s="38"/>
      <c r="G447" s="38"/>
      <c r="H447" s="38"/>
      <c r="I447" s="38"/>
      <c r="J447" s="38"/>
      <c r="K447" s="38"/>
      <c r="L447" s="244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</row>
    <row r="448">
      <c r="A448" s="38"/>
      <c r="B448" s="38"/>
      <c r="C448" s="243"/>
      <c r="D448" s="243"/>
      <c r="E448" s="38"/>
      <c r="F448" s="38"/>
      <c r="G448" s="38"/>
      <c r="H448" s="38"/>
      <c r="I448" s="38"/>
      <c r="J448" s="38"/>
      <c r="K448" s="38"/>
      <c r="L448" s="244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</row>
    <row r="449">
      <c r="A449" s="38"/>
      <c r="B449" s="38"/>
      <c r="C449" s="243"/>
      <c r="D449" s="243"/>
      <c r="E449" s="38"/>
      <c r="F449" s="38"/>
      <c r="G449" s="38"/>
      <c r="H449" s="38"/>
      <c r="I449" s="38"/>
      <c r="J449" s="38"/>
      <c r="K449" s="38"/>
      <c r="L449" s="244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</row>
    <row r="450">
      <c r="A450" s="38"/>
      <c r="B450" s="38"/>
      <c r="C450" s="243"/>
      <c r="D450" s="243"/>
      <c r="E450" s="38"/>
      <c r="F450" s="38"/>
      <c r="G450" s="38"/>
      <c r="H450" s="38"/>
      <c r="I450" s="38"/>
      <c r="J450" s="38"/>
      <c r="K450" s="38"/>
      <c r="L450" s="244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</row>
    <row r="451">
      <c r="A451" s="38"/>
      <c r="B451" s="38"/>
      <c r="C451" s="243"/>
      <c r="D451" s="243"/>
      <c r="E451" s="38"/>
      <c r="F451" s="38"/>
      <c r="G451" s="38"/>
      <c r="H451" s="38"/>
      <c r="I451" s="38"/>
      <c r="J451" s="38"/>
      <c r="K451" s="38"/>
      <c r="L451" s="244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</row>
    <row r="452">
      <c r="A452" s="38"/>
      <c r="B452" s="38"/>
      <c r="C452" s="243"/>
      <c r="D452" s="243"/>
      <c r="E452" s="38"/>
      <c r="F452" s="38"/>
      <c r="G452" s="38"/>
      <c r="H452" s="38"/>
      <c r="I452" s="38"/>
      <c r="J452" s="38"/>
      <c r="K452" s="38"/>
      <c r="L452" s="244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</row>
    <row r="453">
      <c r="A453" s="38"/>
      <c r="B453" s="38"/>
      <c r="C453" s="243"/>
      <c r="D453" s="243"/>
      <c r="E453" s="38"/>
      <c r="F453" s="38"/>
      <c r="G453" s="38"/>
      <c r="H453" s="38"/>
      <c r="I453" s="38"/>
      <c r="J453" s="38"/>
      <c r="K453" s="38"/>
      <c r="L453" s="244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</row>
    <row r="454">
      <c r="A454" s="38"/>
      <c r="B454" s="38"/>
      <c r="C454" s="243"/>
      <c r="D454" s="243"/>
      <c r="E454" s="38"/>
      <c r="F454" s="38"/>
      <c r="G454" s="38"/>
      <c r="H454" s="38"/>
      <c r="I454" s="38"/>
      <c r="J454" s="38"/>
      <c r="K454" s="38"/>
      <c r="L454" s="244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</row>
    <row r="455">
      <c r="A455" s="38"/>
      <c r="B455" s="38"/>
      <c r="C455" s="243"/>
      <c r="D455" s="243"/>
      <c r="E455" s="38"/>
      <c r="F455" s="38"/>
      <c r="G455" s="38"/>
      <c r="H455" s="38"/>
      <c r="I455" s="38"/>
      <c r="J455" s="38"/>
      <c r="K455" s="38"/>
      <c r="L455" s="244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</row>
    <row r="456">
      <c r="A456" s="38"/>
      <c r="B456" s="38"/>
      <c r="C456" s="243"/>
      <c r="D456" s="243"/>
      <c r="E456" s="38"/>
      <c r="F456" s="38"/>
      <c r="G456" s="38"/>
      <c r="H456" s="38"/>
      <c r="I456" s="38"/>
      <c r="J456" s="38"/>
      <c r="K456" s="38"/>
      <c r="L456" s="244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</row>
    <row r="457">
      <c r="A457" s="38"/>
      <c r="B457" s="38"/>
      <c r="C457" s="243"/>
      <c r="D457" s="243"/>
      <c r="E457" s="38"/>
      <c r="F457" s="38"/>
      <c r="G457" s="38"/>
      <c r="H457" s="38"/>
      <c r="I457" s="38"/>
      <c r="J457" s="38"/>
      <c r="K457" s="38"/>
      <c r="L457" s="244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</row>
    <row r="458">
      <c r="A458" s="38"/>
      <c r="B458" s="38"/>
      <c r="C458" s="243"/>
      <c r="D458" s="243"/>
      <c r="E458" s="38"/>
      <c r="F458" s="38"/>
      <c r="G458" s="38"/>
      <c r="H458" s="38"/>
      <c r="I458" s="38"/>
      <c r="J458" s="38"/>
      <c r="K458" s="38"/>
      <c r="L458" s="244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</row>
    <row r="459">
      <c r="A459" s="38"/>
      <c r="B459" s="38"/>
      <c r="C459" s="243"/>
      <c r="D459" s="243"/>
      <c r="E459" s="38"/>
      <c r="F459" s="38"/>
      <c r="G459" s="38"/>
      <c r="H459" s="38"/>
      <c r="I459" s="38"/>
      <c r="J459" s="38"/>
      <c r="K459" s="38"/>
      <c r="L459" s="244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</row>
    <row r="460">
      <c r="A460" s="38"/>
      <c r="B460" s="38"/>
      <c r="C460" s="243"/>
      <c r="D460" s="243"/>
      <c r="E460" s="38"/>
      <c r="F460" s="38"/>
      <c r="G460" s="38"/>
      <c r="H460" s="38"/>
      <c r="I460" s="38"/>
      <c r="J460" s="38"/>
      <c r="K460" s="38"/>
      <c r="L460" s="244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</row>
    <row r="461">
      <c r="A461" s="38"/>
      <c r="B461" s="38"/>
      <c r="C461" s="243"/>
      <c r="D461" s="243"/>
      <c r="E461" s="38"/>
      <c r="F461" s="38"/>
      <c r="G461" s="38"/>
      <c r="H461" s="38"/>
      <c r="I461" s="38"/>
      <c r="J461" s="38"/>
      <c r="K461" s="38"/>
      <c r="L461" s="244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</row>
    <row r="462">
      <c r="A462" s="38"/>
      <c r="B462" s="38"/>
      <c r="C462" s="243"/>
      <c r="D462" s="243"/>
      <c r="E462" s="38"/>
      <c r="F462" s="38"/>
      <c r="G462" s="38"/>
      <c r="H462" s="38"/>
      <c r="I462" s="38"/>
      <c r="J462" s="38"/>
      <c r="K462" s="38"/>
      <c r="L462" s="244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</row>
    <row r="463">
      <c r="A463" s="38"/>
      <c r="B463" s="38"/>
      <c r="C463" s="243"/>
      <c r="D463" s="243"/>
      <c r="E463" s="38"/>
      <c r="F463" s="38"/>
      <c r="G463" s="38"/>
      <c r="H463" s="38"/>
      <c r="I463" s="38"/>
      <c r="J463" s="38"/>
      <c r="K463" s="38"/>
      <c r="L463" s="244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</row>
    <row r="464">
      <c r="A464" s="38"/>
      <c r="B464" s="38"/>
      <c r="C464" s="243"/>
      <c r="D464" s="243"/>
      <c r="E464" s="38"/>
      <c r="F464" s="38"/>
      <c r="G464" s="38"/>
      <c r="H464" s="38"/>
      <c r="I464" s="38"/>
      <c r="J464" s="38"/>
      <c r="K464" s="38"/>
      <c r="L464" s="244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</row>
    <row r="465">
      <c r="A465" s="38"/>
      <c r="B465" s="38"/>
      <c r="C465" s="243"/>
      <c r="D465" s="243"/>
      <c r="E465" s="38"/>
      <c r="F465" s="38"/>
      <c r="G465" s="38"/>
      <c r="H465" s="38"/>
      <c r="I465" s="38"/>
      <c r="J465" s="38"/>
      <c r="K465" s="38"/>
      <c r="L465" s="244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</row>
    <row r="466">
      <c r="A466" s="38"/>
      <c r="B466" s="38"/>
      <c r="C466" s="243"/>
      <c r="D466" s="243"/>
      <c r="E466" s="38"/>
      <c r="F466" s="38"/>
      <c r="G466" s="38"/>
      <c r="H466" s="38"/>
      <c r="I466" s="38"/>
      <c r="J466" s="38"/>
      <c r="K466" s="38"/>
      <c r="L466" s="244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</row>
    <row r="467">
      <c r="A467" s="38"/>
      <c r="B467" s="38"/>
      <c r="C467" s="243"/>
      <c r="D467" s="243"/>
      <c r="E467" s="38"/>
      <c r="F467" s="38"/>
      <c r="G467" s="38"/>
      <c r="H467" s="38"/>
      <c r="I467" s="38"/>
      <c r="J467" s="38"/>
      <c r="K467" s="38"/>
      <c r="L467" s="244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</row>
    <row r="468">
      <c r="A468" s="38"/>
      <c r="B468" s="38"/>
      <c r="C468" s="243"/>
      <c r="D468" s="243"/>
      <c r="E468" s="38"/>
      <c r="F468" s="38"/>
      <c r="G468" s="38"/>
      <c r="H468" s="38"/>
      <c r="I468" s="38"/>
      <c r="J468" s="38"/>
      <c r="K468" s="38"/>
      <c r="L468" s="244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</row>
    <row r="469">
      <c r="A469" s="38"/>
      <c r="B469" s="38"/>
      <c r="C469" s="243"/>
      <c r="D469" s="243"/>
      <c r="E469" s="38"/>
      <c r="F469" s="38"/>
      <c r="G469" s="38"/>
      <c r="H469" s="38"/>
      <c r="I469" s="38"/>
      <c r="J469" s="38"/>
      <c r="K469" s="38"/>
      <c r="L469" s="244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</row>
    <row r="470">
      <c r="A470" s="38"/>
      <c r="B470" s="38"/>
      <c r="C470" s="243"/>
      <c r="D470" s="243"/>
      <c r="E470" s="38"/>
      <c r="F470" s="38"/>
      <c r="G470" s="38"/>
      <c r="H470" s="38"/>
      <c r="I470" s="38"/>
      <c r="J470" s="38"/>
      <c r="K470" s="38"/>
      <c r="L470" s="244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</row>
    <row r="471">
      <c r="A471" s="38"/>
      <c r="B471" s="38"/>
      <c r="C471" s="243"/>
      <c r="D471" s="243"/>
      <c r="E471" s="38"/>
      <c r="F471" s="38"/>
      <c r="G471" s="38"/>
      <c r="H471" s="38"/>
      <c r="I471" s="38"/>
      <c r="J471" s="38"/>
      <c r="K471" s="38"/>
      <c r="L471" s="244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</row>
    <row r="472">
      <c r="A472" s="38"/>
      <c r="B472" s="38"/>
      <c r="C472" s="243"/>
      <c r="D472" s="243"/>
      <c r="E472" s="38"/>
      <c r="F472" s="38"/>
      <c r="G472" s="38"/>
      <c r="H472" s="38"/>
      <c r="I472" s="38"/>
      <c r="J472" s="38"/>
      <c r="K472" s="38"/>
      <c r="L472" s="244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</row>
    <row r="473">
      <c r="A473" s="38"/>
      <c r="B473" s="38"/>
      <c r="C473" s="243"/>
      <c r="D473" s="243"/>
      <c r="E473" s="38"/>
      <c r="F473" s="38"/>
      <c r="G473" s="38"/>
      <c r="H473" s="38"/>
      <c r="I473" s="38"/>
      <c r="J473" s="38"/>
      <c r="K473" s="38"/>
      <c r="L473" s="244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</row>
    <row r="474">
      <c r="A474" s="38"/>
      <c r="B474" s="38"/>
      <c r="C474" s="243"/>
      <c r="D474" s="243"/>
      <c r="E474" s="38"/>
      <c r="F474" s="38"/>
      <c r="G474" s="38"/>
      <c r="H474" s="38"/>
      <c r="I474" s="38"/>
      <c r="J474" s="38"/>
      <c r="K474" s="38"/>
      <c r="L474" s="244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</row>
    <row r="475">
      <c r="A475" s="38"/>
      <c r="B475" s="38"/>
      <c r="C475" s="243"/>
      <c r="D475" s="243"/>
      <c r="E475" s="38"/>
      <c r="F475" s="38"/>
      <c r="G475" s="38"/>
      <c r="H475" s="38"/>
      <c r="I475" s="38"/>
      <c r="J475" s="38"/>
      <c r="K475" s="38"/>
      <c r="L475" s="244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</row>
    <row r="476">
      <c r="A476" s="38"/>
      <c r="B476" s="38"/>
      <c r="C476" s="243"/>
      <c r="D476" s="243"/>
      <c r="E476" s="38"/>
      <c r="F476" s="38"/>
      <c r="G476" s="38"/>
      <c r="H476" s="38"/>
      <c r="I476" s="38"/>
      <c r="J476" s="38"/>
      <c r="K476" s="38"/>
      <c r="L476" s="244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</row>
    <row r="477">
      <c r="A477" s="38"/>
      <c r="B477" s="38"/>
      <c r="C477" s="243"/>
      <c r="D477" s="243"/>
      <c r="E477" s="38"/>
      <c r="F477" s="38"/>
      <c r="G477" s="38"/>
      <c r="H477" s="38"/>
      <c r="I477" s="38"/>
      <c r="J477" s="38"/>
      <c r="K477" s="38"/>
      <c r="L477" s="244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</row>
    <row r="478">
      <c r="A478" s="38"/>
      <c r="B478" s="38"/>
      <c r="C478" s="243"/>
      <c r="D478" s="243"/>
      <c r="E478" s="38"/>
      <c r="F478" s="38"/>
      <c r="G478" s="38"/>
      <c r="H478" s="38"/>
      <c r="I478" s="38"/>
      <c r="J478" s="38"/>
      <c r="K478" s="38"/>
      <c r="L478" s="244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</row>
    <row r="479">
      <c r="A479" s="38"/>
      <c r="B479" s="38"/>
      <c r="C479" s="243"/>
      <c r="D479" s="243"/>
      <c r="E479" s="38"/>
      <c r="F479" s="38"/>
      <c r="G479" s="38"/>
      <c r="H479" s="38"/>
      <c r="I479" s="38"/>
      <c r="J479" s="38"/>
      <c r="K479" s="38"/>
      <c r="L479" s="244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</row>
    <row r="480">
      <c r="A480" s="38"/>
      <c r="B480" s="38"/>
      <c r="C480" s="243"/>
      <c r="D480" s="243"/>
      <c r="E480" s="38"/>
      <c r="F480" s="38"/>
      <c r="G480" s="38"/>
      <c r="H480" s="38"/>
      <c r="I480" s="38"/>
      <c r="J480" s="38"/>
      <c r="K480" s="38"/>
      <c r="L480" s="244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</row>
    <row r="481">
      <c r="A481" s="38"/>
      <c r="B481" s="38"/>
      <c r="C481" s="243"/>
      <c r="D481" s="243"/>
      <c r="E481" s="38"/>
      <c r="F481" s="38"/>
      <c r="G481" s="38"/>
      <c r="H481" s="38"/>
      <c r="I481" s="38"/>
      <c r="J481" s="38"/>
      <c r="K481" s="38"/>
      <c r="L481" s="244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</row>
    <row r="482">
      <c r="A482" s="38"/>
      <c r="B482" s="38"/>
      <c r="C482" s="243"/>
      <c r="D482" s="243"/>
      <c r="E482" s="38"/>
      <c r="F482" s="38"/>
      <c r="G482" s="38"/>
      <c r="H482" s="38"/>
      <c r="I482" s="38"/>
      <c r="J482" s="38"/>
      <c r="K482" s="38"/>
      <c r="L482" s="244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</row>
    <row r="483">
      <c r="A483" s="38"/>
      <c r="B483" s="38"/>
      <c r="C483" s="243"/>
      <c r="D483" s="243"/>
      <c r="E483" s="38"/>
      <c r="F483" s="38"/>
      <c r="G483" s="38"/>
      <c r="H483" s="38"/>
      <c r="I483" s="38"/>
      <c r="J483" s="38"/>
      <c r="K483" s="38"/>
      <c r="L483" s="244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</row>
    <row r="484">
      <c r="A484" s="38"/>
      <c r="B484" s="38"/>
      <c r="C484" s="243"/>
      <c r="D484" s="243"/>
      <c r="E484" s="38"/>
      <c r="F484" s="38"/>
      <c r="G484" s="38"/>
      <c r="H484" s="38"/>
      <c r="I484" s="38"/>
      <c r="J484" s="38"/>
      <c r="K484" s="38"/>
      <c r="L484" s="244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</row>
    <row r="485">
      <c r="A485" s="38"/>
      <c r="B485" s="38"/>
      <c r="C485" s="243"/>
      <c r="D485" s="243"/>
      <c r="E485" s="38"/>
      <c r="F485" s="38"/>
      <c r="G485" s="38"/>
      <c r="H485" s="38"/>
      <c r="I485" s="38"/>
      <c r="J485" s="38"/>
      <c r="K485" s="38"/>
      <c r="L485" s="244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</row>
    <row r="486">
      <c r="A486" s="38"/>
      <c r="B486" s="38"/>
      <c r="C486" s="243"/>
      <c r="D486" s="243"/>
      <c r="E486" s="38"/>
      <c r="F486" s="38"/>
      <c r="G486" s="38"/>
      <c r="H486" s="38"/>
      <c r="I486" s="38"/>
      <c r="J486" s="38"/>
      <c r="K486" s="38"/>
      <c r="L486" s="244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</row>
    <row r="487">
      <c r="A487" s="38"/>
      <c r="B487" s="38"/>
      <c r="C487" s="243"/>
      <c r="D487" s="243"/>
      <c r="E487" s="38"/>
      <c r="F487" s="38"/>
      <c r="G487" s="38"/>
      <c r="H487" s="38"/>
      <c r="I487" s="38"/>
      <c r="J487" s="38"/>
      <c r="K487" s="38"/>
      <c r="L487" s="244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</row>
    <row r="488">
      <c r="A488" s="38"/>
      <c r="B488" s="38"/>
      <c r="C488" s="243"/>
      <c r="D488" s="243"/>
      <c r="E488" s="38"/>
      <c r="F488" s="38"/>
      <c r="G488" s="38"/>
      <c r="H488" s="38"/>
      <c r="I488" s="38"/>
      <c r="J488" s="38"/>
      <c r="K488" s="38"/>
      <c r="L488" s="244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</row>
    <row r="489">
      <c r="A489" s="38"/>
      <c r="B489" s="38"/>
      <c r="C489" s="243"/>
      <c r="D489" s="243"/>
      <c r="E489" s="38"/>
      <c r="F489" s="38"/>
      <c r="G489" s="38"/>
      <c r="H489" s="38"/>
      <c r="I489" s="38"/>
      <c r="J489" s="38"/>
      <c r="K489" s="38"/>
      <c r="L489" s="244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</row>
    <row r="490">
      <c r="A490" s="38"/>
      <c r="B490" s="38"/>
      <c r="C490" s="243"/>
      <c r="D490" s="243"/>
      <c r="E490" s="38"/>
      <c r="F490" s="38"/>
      <c r="G490" s="38"/>
      <c r="H490" s="38"/>
      <c r="I490" s="38"/>
      <c r="J490" s="38"/>
      <c r="K490" s="38"/>
      <c r="L490" s="244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</row>
    <row r="491">
      <c r="A491" s="38"/>
      <c r="B491" s="38"/>
      <c r="C491" s="243"/>
      <c r="D491" s="243"/>
      <c r="E491" s="38"/>
      <c r="F491" s="38"/>
      <c r="G491" s="38"/>
      <c r="H491" s="38"/>
      <c r="I491" s="38"/>
      <c r="J491" s="38"/>
      <c r="K491" s="38"/>
      <c r="L491" s="244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</row>
    <row r="492">
      <c r="A492" s="38"/>
      <c r="B492" s="38"/>
      <c r="C492" s="243"/>
      <c r="D492" s="243"/>
      <c r="E492" s="38"/>
      <c r="F492" s="38"/>
      <c r="G492" s="38"/>
      <c r="H492" s="38"/>
      <c r="I492" s="38"/>
      <c r="J492" s="38"/>
      <c r="K492" s="38"/>
      <c r="L492" s="244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</row>
    <row r="493">
      <c r="A493" s="38"/>
      <c r="B493" s="38"/>
      <c r="C493" s="243"/>
      <c r="D493" s="243"/>
      <c r="E493" s="38"/>
      <c r="F493" s="38"/>
      <c r="G493" s="38"/>
      <c r="H493" s="38"/>
      <c r="I493" s="38"/>
      <c r="J493" s="38"/>
      <c r="K493" s="38"/>
      <c r="L493" s="244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</row>
    <row r="494">
      <c r="A494" s="38"/>
      <c r="B494" s="38"/>
      <c r="C494" s="243"/>
      <c r="D494" s="243"/>
      <c r="E494" s="38"/>
      <c r="F494" s="38"/>
      <c r="G494" s="38"/>
      <c r="H494" s="38"/>
      <c r="I494" s="38"/>
      <c r="J494" s="38"/>
      <c r="K494" s="38"/>
      <c r="L494" s="244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</row>
    <row r="495">
      <c r="A495" s="38"/>
      <c r="B495" s="38"/>
      <c r="C495" s="243"/>
      <c r="D495" s="243"/>
      <c r="E495" s="38"/>
      <c r="F495" s="38"/>
      <c r="G495" s="38"/>
      <c r="H495" s="38"/>
      <c r="I495" s="38"/>
      <c r="J495" s="38"/>
      <c r="K495" s="38"/>
      <c r="L495" s="244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</row>
    <row r="496">
      <c r="A496" s="38"/>
      <c r="B496" s="38"/>
      <c r="C496" s="243"/>
      <c r="D496" s="243"/>
      <c r="E496" s="38"/>
      <c r="F496" s="38"/>
      <c r="G496" s="38"/>
      <c r="H496" s="38"/>
      <c r="I496" s="38"/>
      <c r="J496" s="38"/>
      <c r="K496" s="38"/>
      <c r="L496" s="244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</row>
    <row r="497">
      <c r="A497" s="38"/>
      <c r="B497" s="38"/>
      <c r="C497" s="243"/>
      <c r="D497" s="243"/>
      <c r="E497" s="38"/>
      <c r="F497" s="38"/>
      <c r="G497" s="38"/>
      <c r="H497" s="38"/>
      <c r="I497" s="38"/>
      <c r="J497" s="38"/>
      <c r="K497" s="38"/>
      <c r="L497" s="244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</row>
    <row r="498">
      <c r="A498" s="38"/>
      <c r="B498" s="38"/>
      <c r="C498" s="243"/>
      <c r="D498" s="243"/>
      <c r="E498" s="38"/>
      <c r="F498" s="38"/>
      <c r="G498" s="38"/>
      <c r="H498" s="38"/>
      <c r="I498" s="38"/>
      <c r="J498" s="38"/>
      <c r="K498" s="38"/>
      <c r="L498" s="244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</row>
    <row r="499">
      <c r="A499" s="38"/>
      <c r="B499" s="38"/>
      <c r="C499" s="243"/>
      <c r="D499" s="243"/>
      <c r="E499" s="38"/>
      <c r="F499" s="38"/>
      <c r="G499" s="38"/>
      <c r="H499" s="38"/>
      <c r="I499" s="38"/>
      <c r="J499" s="38"/>
      <c r="K499" s="38"/>
      <c r="L499" s="244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</row>
    <row r="500">
      <c r="A500" s="38"/>
      <c r="B500" s="38"/>
      <c r="C500" s="243"/>
      <c r="D500" s="243"/>
      <c r="E500" s="38"/>
      <c r="F500" s="38"/>
      <c r="G500" s="38"/>
      <c r="H500" s="38"/>
      <c r="I500" s="38"/>
      <c r="J500" s="38"/>
      <c r="K500" s="38"/>
      <c r="L500" s="244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</row>
    <row r="501">
      <c r="A501" s="38"/>
      <c r="B501" s="38"/>
      <c r="C501" s="243"/>
      <c r="D501" s="243"/>
      <c r="E501" s="38"/>
      <c r="F501" s="38"/>
      <c r="G501" s="38"/>
      <c r="H501" s="38"/>
      <c r="I501" s="38"/>
      <c r="J501" s="38"/>
      <c r="K501" s="38"/>
      <c r="L501" s="244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</row>
    <row r="502">
      <c r="A502" s="38"/>
      <c r="B502" s="38"/>
      <c r="C502" s="243"/>
      <c r="D502" s="243"/>
      <c r="E502" s="38"/>
      <c r="F502" s="38"/>
      <c r="G502" s="38"/>
      <c r="H502" s="38"/>
      <c r="I502" s="38"/>
      <c r="J502" s="38"/>
      <c r="K502" s="38"/>
      <c r="L502" s="244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</row>
    <row r="503">
      <c r="A503" s="38"/>
      <c r="B503" s="38"/>
      <c r="C503" s="243"/>
      <c r="D503" s="243"/>
      <c r="E503" s="38"/>
      <c r="F503" s="38"/>
      <c r="G503" s="38"/>
      <c r="H503" s="38"/>
      <c r="I503" s="38"/>
      <c r="J503" s="38"/>
      <c r="K503" s="38"/>
      <c r="L503" s="244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</row>
    <row r="504">
      <c r="A504" s="38"/>
      <c r="B504" s="38"/>
      <c r="C504" s="243"/>
      <c r="D504" s="243"/>
      <c r="E504" s="38"/>
      <c r="F504" s="38"/>
      <c r="G504" s="38"/>
      <c r="H504" s="38"/>
      <c r="I504" s="38"/>
      <c r="J504" s="38"/>
      <c r="K504" s="38"/>
      <c r="L504" s="244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</row>
    <row r="505">
      <c r="A505" s="38"/>
      <c r="B505" s="38"/>
      <c r="C505" s="243"/>
      <c r="D505" s="243"/>
      <c r="E505" s="38"/>
      <c r="F505" s="38"/>
      <c r="G505" s="38"/>
      <c r="H505" s="38"/>
      <c r="I505" s="38"/>
      <c r="J505" s="38"/>
      <c r="K505" s="38"/>
      <c r="L505" s="244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</row>
    <row r="506">
      <c r="A506" s="38"/>
      <c r="B506" s="38"/>
      <c r="C506" s="243"/>
      <c r="D506" s="243"/>
      <c r="E506" s="38"/>
      <c r="F506" s="38"/>
      <c r="G506" s="38"/>
      <c r="H506" s="38"/>
      <c r="I506" s="38"/>
      <c r="J506" s="38"/>
      <c r="K506" s="38"/>
      <c r="L506" s="244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</row>
    <row r="507">
      <c r="A507" s="38"/>
      <c r="B507" s="38"/>
      <c r="C507" s="243"/>
      <c r="D507" s="243"/>
      <c r="E507" s="38"/>
      <c r="F507" s="38"/>
      <c r="G507" s="38"/>
      <c r="H507" s="38"/>
      <c r="I507" s="38"/>
      <c r="J507" s="38"/>
      <c r="K507" s="38"/>
      <c r="L507" s="244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</row>
    <row r="508">
      <c r="A508" s="38"/>
      <c r="B508" s="38"/>
      <c r="C508" s="243"/>
      <c r="D508" s="243"/>
      <c r="E508" s="38"/>
      <c r="F508" s="38"/>
      <c r="G508" s="38"/>
      <c r="H508" s="38"/>
      <c r="I508" s="38"/>
      <c r="J508" s="38"/>
      <c r="K508" s="38"/>
      <c r="L508" s="244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</row>
    <row r="509">
      <c r="A509" s="38"/>
      <c r="B509" s="38"/>
      <c r="C509" s="243"/>
      <c r="D509" s="243"/>
      <c r="E509" s="38"/>
      <c r="F509" s="38"/>
      <c r="G509" s="38"/>
      <c r="H509" s="38"/>
      <c r="I509" s="38"/>
      <c r="J509" s="38"/>
      <c r="K509" s="38"/>
      <c r="L509" s="244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>
      <c r="A510" s="38"/>
      <c r="B510" s="38"/>
      <c r="C510" s="243"/>
      <c r="D510" s="243"/>
      <c r="E510" s="38"/>
      <c r="F510" s="38"/>
      <c r="G510" s="38"/>
      <c r="H510" s="38"/>
      <c r="I510" s="38"/>
      <c r="J510" s="38"/>
      <c r="K510" s="38"/>
      <c r="L510" s="244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</row>
    <row r="511">
      <c r="A511" s="38"/>
      <c r="B511" s="38"/>
      <c r="C511" s="243"/>
      <c r="D511" s="243"/>
      <c r="E511" s="38"/>
      <c r="F511" s="38"/>
      <c r="G511" s="38"/>
      <c r="H511" s="38"/>
      <c r="I511" s="38"/>
      <c r="J511" s="38"/>
      <c r="K511" s="38"/>
      <c r="L511" s="244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</row>
    <row r="512">
      <c r="A512" s="38"/>
      <c r="B512" s="38"/>
      <c r="C512" s="243"/>
      <c r="D512" s="243"/>
      <c r="E512" s="38"/>
      <c r="F512" s="38"/>
      <c r="G512" s="38"/>
      <c r="H512" s="38"/>
      <c r="I512" s="38"/>
      <c r="J512" s="38"/>
      <c r="K512" s="38"/>
      <c r="L512" s="244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</row>
    <row r="513">
      <c r="A513" s="38"/>
      <c r="B513" s="38"/>
      <c r="C513" s="243"/>
      <c r="D513" s="243"/>
      <c r="E513" s="38"/>
      <c r="F513" s="38"/>
      <c r="G513" s="38"/>
      <c r="H513" s="38"/>
      <c r="I513" s="38"/>
      <c r="J513" s="38"/>
      <c r="K513" s="38"/>
      <c r="L513" s="244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</row>
    <row r="514">
      <c r="A514" s="38"/>
      <c r="B514" s="38"/>
      <c r="C514" s="243"/>
      <c r="D514" s="243"/>
      <c r="E514" s="38"/>
      <c r="F514" s="38"/>
      <c r="G514" s="38"/>
      <c r="H514" s="38"/>
      <c r="I514" s="38"/>
      <c r="J514" s="38"/>
      <c r="K514" s="38"/>
      <c r="L514" s="244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</row>
    <row r="515">
      <c r="A515" s="38"/>
      <c r="B515" s="38"/>
      <c r="C515" s="243"/>
      <c r="D515" s="243"/>
      <c r="E515" s="38"/>
      <c r="F515" s="38"/>
      <c r="G515" s="38"/>
      <c r="H515" s="38"/>
      <c r="I515" s="38"/>
      <c r="J515" s="38"/>
      <c r="K515" s="38"/>
      <c r="L515" s="244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</row>
    <row r="516">
      <c r="A516" s="38"/>
      <c r="B516" s="38"/>
      <c r="C516" s="243"/>
      <c r="D516" s="243"/>
      <c r="E516" s="38"/>
      <c r="F516" s="38"/>
      <c r="G516" s="38"/>
      <c r="H516" s="38"/>
      <c r="I516" s="38"/>
      <c r="J516" s="38"/>
      <c r="K516" s="38"/>
      <c r="L516" s="244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</row>
    <row r="517">
      <c r="A517" s="38"/>
      <c r="B517" s="38"/>
      <c r="C517" s="243"/>
      <c r="D517" s="243"/>
      <c r="E517" s="38"/>
      <c r="F517" s="38"/>
      <c r="G517" s="38"/>
      <c r="H517" s="38"/>
      <c r="I517" s="38"/>
      <c r="J517" s="38"/>
      <c r="K517" s="38"/>
      <c r="L517" s="244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</row>
    <row r="518">
      <c r="A518" s="38"/>
      <c r="B518" s="38"/>
      <c r="C518" s="243"/>
      <c r="D518" s="243"/>
      <c r="E518" s="38"/>
      <c r="F518" s="38"/>
      <c r="G518" s="38"/>
      <c r="H518" s="38"/>
      <c r="I518" s="38"/>
      <c r="J518" s="38"/>
      <c r="K518" s="38"/>
      <c r="L518" s="244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</row>
    <row r="519">
      <c r="A519" s="38"/>
      <c r="B519" s="38"/>
      <c r="C519" s="243"/>
      <c r="D519" s="243"/>
      <c r="E519" s="38"/>
      <c r="F519" s="38"/>
      <c r="G519" s="38"/>
      <c r="H519" s="38"/>
      <c r="I519" s="38"/>
      <c r="J519" s="38"/>
      <c r="K519" s="38"/>
      <c r="L519" s="244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</row>
    <row r="520">
      <c r="A520" s="38"/>
      <c r="B520" s="38"/>
      <c r="C520" s="243"/>
      <c r="D520" s="243"/>
      <c r="E520" s="38"/>
      <c r="F520" s="38"/>
      <c r="G520" s="38"/>
      <c r="H520" s="38"/>
      <c r="I520" s="38"/>
      <c r="J520" s="38"/>
      <c r="K520" s="38"/>
      <c r="L520" s="244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</row>
    <row r="521">
      <c r="A521" s="38"/>
      <c r="B521" s="38"/>
      <c r="C521" s="243"/>
      <c r="D521" s="243"/>
      <c r="E521" s="38"/>
      <c r="F521" s="38"/>
      <c r="G521" s="38"/>
      <c r="H521" s="38"/>
      <c r="I521" s="38"/>
      <c r="J521" s="38"/>
      <c r="K521" s="38"/>
      <c r="L521" s="244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</row>
    <row r="522">
      <c r="A522" s="38"/>
      <c r="B522" s="38"/>
      <c r="C522" s="243"/>
      <c r="D522" s="243"/>
      <c r="E522" s="38"/>
      <c r="F522" s="38"/>
      <c r="G522" s="38"/>
      <c r="H522" s="38"/>
      <c r="I522" s="38"/>
      <c r="J522" s="38"/>
      <c r="K522" s="38"/>
      <c r="L522" s="244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</row>
    <row r="523">
      <c r="A523" s="38"/>
      <c r="B523" s="38"/>
      <c r="C523" s="243"/>
      <c r="D523" s="243"/>
      <c r="E523" s="38"/>
      <c r="F523" s="38"/>
      <c r="G523" s="38"/>
      <c r="H523" s="38"/>
      <c r="I523" s="38"/>
      <c r="J523" s="38"/>
      <c r="K523" s="38"/>
      <c r="L523" s="244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</row>
    <row r="524">
      <c r="A524" s="38"/>
      <c r="B524" s="38"/>
      <c r="C524" s="243"/>
      <c r="D524" s="243"/>
      <c r="E524" s="38"/>
      <c r="F524" s="38"/>
      <c r="G524" s="38"/>
      <c r="H524" s="38"/>
      <c r="I524" s="38"/>
      <c r="J524" s="38"/>
      <c r="K524" s="38"/>
      <c r="L524" s="244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</row>
    <row r="525">
      <c r="A525" s="38"/>
      <c r="B525" s="38"/>
      <c r="C525" s="243"/>
      <c r="D525" s="243"/>
      <c r="E525" s="38"/>
      <c r="F525" s="38"/>
      <c r="G525" s="38"/>
      <c r="H525" s="38"/>
      <c r="I525" s="38"/>
      <c r="J525" s="38"/>
      <c r="K525" s="38"/>
      <c r="L525" s="244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</row>
    <row r="526">
      <c r="A526" s="38"/>
      <c r="B526" s="38"/>
      <c r="C526" s="243"/>
      <c r="D526" s="243"/>
      <c r="E526" s="38"/>
      <c r="F526" s="38"/>
      <c r="G526" s="38"/>
      <c r="H526" s="38"/>
      <c r="I526" s="38"/>
      <c r="J526" s="38"/>
      <c r="K526" s="38"/>
      <c r="L526" s="244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</row>
    <row r="527">
      <c r="A527" s="38"/>
      <c r="B527" s="38"/>
      <c r="C527" s="243"/>
      <c r="D527" s="243"/>
      <c r="E527" s="38"/>
      <c r="F527" s="38"/>
      <c r="G527" s="38"/>
      <c r="H527" s="38"/>
      <c r="I527" s="38"/>
      <c r="J527" s="38"/>
      <c r="K527" s="38"/>
      <c r="L527" s="244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</row>
    <row r="528">
      <c r="A528" s="38"/>
      <c r="B528" s="38"/>
      <c r="C528" s="243"/>
      <c r="D528" s="243"/>
      <c r="E528" s="38"/>
      <c r="F528" s="38"/>
      <c r="G528" s="38"/>
      <c r="H528" s="38"/>
      <c r="I528" s="38"/>
      <c r="J528" s="38"/>
      <c r="K528" s="38"/>
      <c r="L528" s="244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</row>
    <row r="529">
      <c r="A529" s="38"/>
      <c r="B529" s="38"/>
      <c r="C529" s="243"/>
      <c r="D529" s="243"/>
      <c r="E529" s="38"/>
      <c r="F529" s="38"/>
      <c r="G529" s="38"/>
      <c r="H529" s="38"/>
      <c r="I529" s="38"/>
      <c r="J529" s="38"/>
      <c r="K529" s="38"/>
      <c r="L529" s="244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</row>
    <row r="530">
      <c r="A530" s="38"/>
      <c r="B530" s="38"/>
      <c r="C530" s="243"/>
      <c r="D530" s="243"/>
      <c r="E530" s="38"/>
      <c r="F530" s="38"/>
      <c r="G530" s="38"/>
      <c r="H530" s="38"/>
      <c r="I530" s="38"/>
      <c r="J530" s="38"/>
      <c r="K530" s="38"/>
      <c r="L530" s="244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</row>
    <row r="531">
      <c r="A531" s="38"/>
      <c r="B531" s="38"/>
      <c r="C531" s="243"/>
      <c r="D531" s="243"/>
      <c r="E531" s="38"/>
      <c r="F531" s="38"/>
      <c r="G531" s="38"/>
      <c r="H531" s="38"/>
      <c r="I531" s="38"/>
      <c r="J531" s="38"/>
      <c r="K531" s="38"/>
      <c r="L531" s="244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</row>
    <row r="532">
      <c r="A532" s="38"/>
      <c r="B532" s="38"/>
      <c r="C532" s="243"/>
      <c r="D532" s="243"/>
      <c r="E532" s="38"/>
      <c r="F532" s="38"/>
      <c r="G532" s="38"/>
      <c r="H532" s="38"/>
      <c r="I532" s="38"/>
      <c r="J532" s="38"/>
      <c r="K532" s="38"/>
      <c r="L532" s="244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</row>
    <row r="533">
      <c r="A533" s="38"/>
      <c r="B533" s="38"/>
      <c r="C533" s="243"/>
      <c r="D533" s="243"/>
      <c r="E533" s="38"/>
      <c r="F533" s="38"/>
      <c r="G533" s="38"/>
      <c r="H533" s="38"/>
      <c r="I533" s="38"/>
      <c r="J533" s="38"/>
      <c r="K533" s="38"/>
      <c r="L533" s="244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</row>
    <row r="534">
      <c r="A534" s="38"/>
      <c r="B534" s="38"/>
      <c r="C534" s="243"/>
      <c r="D534" s="243"/>
      <c r="E534" s="38"/>
      <c r="F534" s="38"/>
      <c r="G534" s="38"/>
      <c r="H534" s="38"/>
      <c r="I534" s="38"/>
      <c r="J534" s="38"/>
      <c r="K534" s="38"/>
      <c r="L534" s="244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</row>
    <row r="535">
      <c r="A535" s="38"/>
      <c r="B535" s="38"/>
      <c r="C535" s="243"/>
      <c r="D535" s="243"/>
      <c r="E535" s="38"/>
      <c r="F535" s="38"/>
      <c r="G535" s="38"/>
      <c r="H535" s="38"/>
      <c r="I535" s="38"/>
      <c r="J535" s="38"/>
      <c r="K535" s="38"/>
      <c r="L535" s="244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</row>
    <row r="536">
      <c r="A536" s="38"/>
      <c r="B536" s="38"/>
      <c r="C536" s="243"/>
      <c r="D536" s="243"/>
      <c r="E536" s="38"/>
      <c r="F536" s="38"/>
      <c r="G536" s="38"/>
      <c r="H536" s="38"/>
      <c r="I536" s="38"/>
      <c r="J536" s="38"/>
      <c r="K536" s="38"/>
      <c r="L536" s="244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</row>
    <row r="537">
      <c r="A537" s="38"/>
      <c r="B537" s="38"/>
      <c r="C537" s="243"/>
      <c r="D537" s="243"/>
      <c r="E537" s="38"/>
      <c r="F537" s="38"/>
      <c r="G537" s="38"/>
      <c r="H537" s="38"/>
      <c r="I537" s="38"/>
      <c r="J537" s="38"/>
      <c r="K537" s="38"/>
      <c r="L537" s="244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</row>
    <row r="538">
      <c r="A538" s="38"/>
      <c r="B538" s="38"/>
      <c r="C538" s="243"/>
      <c r="D538" s="243"/>
      <c r="E538" s="38"/>
      <c r="F538" s="38"/>
      <c r="G538" s="38"/>
      <c r="H538" s="38"/>
      <c r="I538" s="38"/>
      <c r="J538" s="38"/>
      <c r="K538" s="38"/>
      <c r="L538" s="244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</row>
    <row r="539">
      <c r="A539" s="38"/>
      <c r="B539" s="38"/>
      <c r="C539" s="243"/>
      <c r="D539" s="243"/>
      <c r="E539" s="38"/>
      <c r="F539" s="38"/>
      <c r="G539" s="38"/>
      <c r="H539" s="38"/>
      <c r="I539" s="38"/>
      <c r="J539" s="38"/>
      <c r="K539" s="38"/>
      <c r="L539" s="244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</row>
    <row r="540">
      <c r="A540" s="38"/>
      <c r="B540" s="38"/>
      <c r="C540" s="243"/>
      <c r="D540" s="243"/>
      <c r="E540" s="38"/>
      <c r="F540" s="38"/>
      <c r="G540" s="38"/>
      <c r="H540" s="38"/>
      <c r="I540" s="38"/>
      <c r="J540" s="38"/>
      <c r="K540" s="38"/>
      <c r="L540" s="244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</row>
    <row r="541">
      <c r="A541" s="38"/>
      <c r="B541" s="38"/>
      <c r="C541" s="243"/>
      <c r="D541" s="243"/>
      <c r="E541" s="38"/>
      <c r="F541" s="38"/>
      <c r="G541" s="38"/>
      <c r="H541" s="38"/>
      <c r="I541" s="38"/>
      <c r="J541" s="38"/>
      <c r="K541" s="38"/>
      <c r="L541" s="244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</row>
    <row r="542">
      <c r="A542" s="38"/>
      <c r="B542" s="38"/>
      <c r="C542" s="243"/>
      <c r="D542" s="243"/>
      <c r="E542" s="38"/>
      <c r="F542" s="38"/>
      <c r="G542" s="38"/>
      <c r="H542" s="38"/>
      <c r="I542" s="38"/>
      <c r="J542" s="38"/>
      <c r="K542" s="38"/>
      <c r="L542" s="244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</row>
    <row r="543">
      <c r="A543" s="38"/>
      <c r="B543" s="38"/>
      <c r="C543" s="243"/>
      <c r="D543" s="243"/>
      <c r="E543" s="38"/>
      <c r="F543" s="38"/>
      <c r="G543" s="38"/>
      <c r="H543" s="38"/>
      <c r="I543" s="38"/>
      <c r="J543" s="38"/>
      <c r="K543" s="38"/>
      <c r="L543" s="244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</row>
    <row r="544">
      <c r="A544" s="38"/>
      <c r="B544" s="38"/>
      <c r="C544" s="243"/>
      <c r="D544" s="243"/>
      <c r="E544" s="38"/>
      <c r="F544" s="38"/>
      <c r="G544" s="38"/>
      <c r="H544" s="38"/>
      <c r="I544" s="38"/>
      <c r="J544" s="38"/>
      <c r="K544" s="38"/>
      <c r="L544" s="244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</row>
    <row r="545">
      <c r="A545" s="38"/>
      <c r="B545" s="38"/>
      <c r="C545" s="243"/>
      <c r="D545" s="243"/>
      <c r="E545" s="38"/>
      <c r="F545" s="38"/>
      <c r="G545" s="38"/>
      <c r="H545" s="38"/>
      <c r="I545" s="38"/>
      <c r="J545" s="38"/>
      <c r="K545" s="38"/>
      <c r="L545" s="244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</row>
    <row r="546">
      <c r="A546" s="38"/>
      <c r="B546" s="38"/>
      <c r="C546" s="243"/>
      <c r="D546" s="243"/>
      <c r="E546" s="38"/>
      <c r="F546" s="38"/>
      <c r="G546" s="38"/>
      <c r="H546" s="38"/>
      <c r="I546" s="38"/>
      <c r="J546" s="38"/>
      <c r="K546" s="38"/>
      <c r="L546" s="244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</row>
    <row r="547">
      <c r="A547" s="38"/>
      <c r="B547" s="38"/>
      <c r="C547" s="243"/>
      <c r="D547" s="243"/>
      <c r="E547" s="38"/>
      <c r="F547" s="38"/>
      <c r="G547" s="38"/>
      <c r="H547" s="38"/>
      <c r="I547" s="38"/>
      <c r="J547" s="38"/>
      <c r="K547" s="38"/>
      <c r="L547" s="244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</row>
    <row r="548">
      <c r="A548" s="38"/>
      <c r="B548" s="38"/>
      <c r="C548" s="243"/>
      <c r="D548" s="243"/>
      <c r="E548" s="38"/>
      <c r="F548" s="38"/>
      <c r="G548" s="38"/>
      <c r="H548" s="38"/>
      <c r="I548" s="38"/>
      <c r="J548" s="38"/>
      <c r="K548" s="38"/>
      <c r="L548" s="244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</row>
    <row r="549">
      <c r="A549" s="38"/>
      <c r="B549" s="38"/>
      <c r="C549" s="243"/>
      <c r="D549" s="243"/>
      <c r="E549" s="38"/>
      <c r="F549" s="38"/>
      <c r="G549" s="38"/>
      <c r="H549" s="38"/>
      <c r="I549" s="38"/>
      <c r="J549" s="38"/>
      <c r="K549" s="38"/>
      <c r="L549" s="244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</row>
    <row r="550">
      <c r="A550" s="38"/>
      <c r="B550" s="38"/>
      <c r="C550" s="243"/>
      <c r="D550" s="243"/>
      <c r="E550" s="38"/>
      <c r="F550" s="38"/>
      <c r="G550" s="38"/>
      <c r="H550" s="38"/>
      <c r="I550" s="38"/>
      <c r="J550" s="38"/>
      <c r="K550" s="38"/>
      <c r="L550" s="244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</row>
    <row r="551">
      <c r="A551" s="38"/>
      <c r="B551" s="38"/>
      <c r="C551" s="243"/>
      <c r="D551" s="243"/>
      <c r="E551" s="38"/>
      <c r="F551" s="38"/>
      <c r="G551" s="38"/>
      <c r="H551" s="38"/>
      <c r="I551" s="38"/>
      <c r="J551" s="38"/>
      <c r="K551" s="38"/>
      <c r="L551" s="244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</row>
    <row r="552">
      <c r="A552" s="38"/>
      <c r="B552" s="38"/>
      <c r="C552" s="243"/>
      <c r="D552" s="243"/>
      <c r="E552" s="38"/>
      <c r="F552" s="38"/>
      <c r="G552" s="38"/>
      <c r="H552" s="38"/>
      <c r="I552" s="38"/>
      <c r="J552" s="38"/>
      <c r="K552" s="38"/>
      <c r="L552" s="244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</row>
    <row r="553">
      <c r="A553" s="38"/>
      <c r="B553" s="38"/>
      <c r="C553" s="243"/>
      <c r="D553" s="243"/>
      <c r="E553" s="38"/>
      <c r="F553" s="38"/>
      <c r="G553" s="38"/>
      <c r="H553" s="38"/>
      <c r="I553" s="38"/>
      <c r="J553" s="38"/>
      <c r="K553" s="38"/>
      <c r="L553" s="244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</row>
    <row r="554">
      <c r="A554" s="38"/>
      <c r="B554" s="38"/>
      <c r="C554" s="243"/>
      <c r="D554" s="243"/>
      <c r="E554" s="38"/>
      <c r="F554" s="38"/>
      <c r="G554" s="38"/>
      <c r="H554" s="38"/>
      <c r="I554" s="38"/>
      <c r="J554" s="38"/>
      <c r="K554" s="38"/>
      <c r="L554" s="244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</row>
    <row r="555">
      <c r="A555" s="38"/>
      <c r="B555" s="38"/>
      <c r="C555" s="243"/>
      <c r="D555" s="243"/>
      <c r="E555" s="38"/>
      <c r="F555" s="38"/>
      <c r="G555" s="38"/>
      <c r="H555" s="38"/>
      <c r="I555" s="38"/>
      <c r="J555" s="38"/>
      <c r="K555" s="38"/>
      <c r="L555" s="244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</row>
    <row r="556">
      <c r="A556" s="38"/>
      <c r="B556" s="38"/>
      <c r="C556" s="243"/>
      <c r="D556" s="243"/>
      <c r="E556" s="38"/>
      <c r="F556" s="38"/>
      <c r="G556" s="38"/>
      <c r="H556" s="38"/>
      <c r="I556" s="38"/>
      <c r="J556" s="38"/>
      <c r="K556" s="38"/>
      <c r="L556" s="244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</row>
    <row r="557">
      <c r="A557" s="38"/>
      <c r="B557" s="38"/>
      <c r="C557" s="243"/>
      <c r="D557" s="243"/>
      <c r="E557" s="38"/>
      <c r="F557" s="38"/>
      <c r="G557" s="38"/>
      <c r="H557" s="38"/>
      <c r="I557" s="38"/>
      <c r="J557" s="38"/>
      <c r="K557" s="38"/>
      <c r="L557" s="244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</row>
    <row r="558">
      <c r="A558" s="38"/>
      <c r="B558" s="38"/>
      <c r="C558" s="243"/>
      <c r="D558" s="243"/>
      <c r="E558" s="38"/>
      <c r="F558" s="38"/>
      <c r="G558" s="38"/>
      <c r="H558" s="38"/>
      <c r="I558" s="38"/>
      <c r="J558" s="38"/>
      <c r="K558" s="38"/>
      <c r="L558" s="244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</row>
    <row r="559">
      <c r="A559" s="38"/>
      <c r="B559" s="38"/>
      <c r="C559" s="243"/>
      <c r="D559" s="243"/>
      <c r="E559" s="38"/>
      <c r="F559" s="38"/>
      <c r="G559" s="38"/>
      <c r="H559" s="38"/>
      <c r="I559" s="38"/>
      <c r="J559" s="38"/>
      <c r="K559" s="38"/>
      <c r="L559" s="244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</row>
    <row r="560">
      <c r="A560" s="38"/>
      <c r="B560" s="38"/>
      <c r="C560" s="243"/>
      <c r="D560" s="243"/>
      <c r="E560" s="38"/>
      <c r="F560" s="38"/>
      <c r="G560" s="38"/>
      <c r="H560" s="38"/>
      <c r="I560" s="38"/>
      <c r="J560" s="38"/>
      <c r="K560" s="38"/>
      <c r="L560" s="244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</row>
    <row r="561">
      <c r="A561" s="38"/>
      <c r="B561" s="38"/>
      <c r="C561" s="243"/>
      <c r="D561" s="243"/>
      <c r="E561" s="38"/>
      <c r="F561" s="38"/>
      <c r="G561" s="38"/>
      <c r="H561" s="38"/>
      <c r="I561" s="38"/>
      <c r="J561" s="38"/>
      <c r="K561" s="38"/>
      <c r="L561" s="244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</row>
    <row r="562">
      <c r="A562" s="38"/>
      <c r="B562" s="38"/>
      <c r="C562" s="243"/>
      <c r="D562" s="243"/>
      <c r="E562" s="38"/>
      <c r="F562" s="38"/>
      <c r="G562" s="38"/>
      <c r="H562" s="38"/>
      <c r="I562" s="38"/>
      <c r="J562" s="38"/>
      <c r="K562" s="38"/>
      <c r="L562" s="244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</row>
    <row r="563">
      <c r="A563" s="38"/>
      <c r="B563" s="38"/>
      <c r="C563" s="243"/>
      <c r="D563" s="243"/>
      <c r="E563" s="38"/>
      <c r="F563" s="38"/>
      <c r="G563" s="38"/>
      <c r="H563" s="38"/>
      <c r="I563" s="38"/>
      <c r="J563" s="38"/>
      <c r="K563" s="38"/>
      <c r="L563" s="244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</row>
    <row r="564">
      <c r="A564" s="38"/>
      <c r="B564" s="38"/>
      <c r="C564" s="243"/>
      <c r="D564" s="243"/>
      <c r="E564" s="38"/>
      <c r="F564" s="38"/>
      <c r="G564" s="38"/>
      <c r="H564" s="38"/>
      <c r="I564" s="38"/>
      <c r="J564" s="38"/>
      <c r="K564" s="38"/>
      <c r="L564" s="244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</row>
    <row r="565">
      <c r="A565" s="38"/>
      <c r="B565" s="38"/>
      <c r="C565" s="243"/>
      <c r="D565" s="243"/>
      <c r="E565" s="38"/>
      <c r="F565" s="38"/>
      <c r="G565" s="38"/>
      <c r="H565" s="38"/>
      <c r="I565" s="38"/>
      <c r="J565" s="38"/>
      <c r="K565" s="38"/>
      <c r="L565" s="244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</row>
    <row r="566">
      <c r="A566" s="38"/>
      <c r="B566" s="38"/>
      <c r="C566" s="243"/>
      <c r="D566" s="243"/>
      <c r="E566" s="38"/>
      <c r="F566" s="38"/>
      <c r="G566" s="38"/>
      <c r="H566" s="38"/>
      <c r="I566" s="38"/>
      <c r="J566" s="38"/>
      <c r="K566" s="38"/>
      <c r="L566" s="244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</row>
    <row r="567">
      <c r="A567" s="38"/>
      <c r="B567" s="38"/>
      <c r="C567" s="243"/>
      <c r="D567" s="243"/>
      <c r="E567" s="38"/>
      <c r="F567" s="38"/>
      <c r="G567" s="38"/>
      <c r="H567" s="38"/>
      <c r="I567" s="38"/>
      <c r="J567" s="38"/>
      <c r="K567" s="38"/>
      <c r="L567" s="244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</row>
    <row r="568">
      <c r="A568" s="38"/>
      <c r="B568" s="38"/>
      <c r="C568" s="243"/>
      <c r="D568" s="243"/>
      <c r="E568" s="38"/>
      <c r="F568" s="38"/>
      <c r="G568" s="38"/>
      <c r="H568" s="38"/>
      <c r="I568" s="38"/>
      <c r="J568" s="38"/>
      <c r="K568" s="38"/>
      <c r="L568" s="244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</row>
    <row r="569">
      <c r="A569" s="38"/>
      <c r="B569" s="38"/>
      <c r="C569" s="243"/>
      <c r="D569" s="243"/>
      <c r="E569" s="38"/>
      <c r="F569" s="38"/>
      <c r="G569" s="38"/>
      <c r="H569" s="38"/>
      <c r="I569" s="38"/>
      <c r="J569" s="38"/>
      <c r="K569" s="38"/>
      <c r="L569" s="244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</row>
    <row r="570">
      <c r="A570" s="38"/>
      <c r="B570" s="38"/>
      <c r="C570" s="243"/>
      <c r="D570" s="243"/>
      <c r="E570" s="38"/>
      <c r="F570" s="38"/>
      <c r="G570" s="38"/>
      <c r="H570" s="38"/>
      <c r="I570" s="38"/>
      <c r="J570" s="38"/>
      <c r="K570" s="38"/>
      <c r="L570" s="244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</row>
    <row r="571">
      <c r="A571" s="38"/>
      <c r="B571" s="38"/>
      <c r="C571" s="243"/>
      <c r="D571" s="243"/>
      <c r="E571" s="38"/>
      <c r="F571" s="38"/>
      <c r="G571" s="38"/>
      <c r="H571" s="38"/>
      <c r="I571" s="38"/>
      <c r="J571" s="38"/>
      <c r="K571" s="38"/>
      <c r="L571" s="244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</row>
    <row r="572">
      <c r="A572" s="38"/>
      <c r="B572" s="38"/>
      <c r="C572" s="243"/>
      <c r="D572" s="243"/>
      <c r="E572" s="38"/>
      <c r="F572" s="38"/>
      <c r="G572" s="38"/>
      <c r="H572" s="38"/>
      <c r="I572" s="38"/>
      <c r="J572" s="38"/>
      <c r="K572" s="38"/>
      <c r="L572" s="244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</row>
    <row r="573">
      <c r="A573" s="38"/>
      <c r="B573" s="38"/>
      <c r="C573" s="243"/>
      <c r="D573" s="243"/>
      <c r="E573" s="38"/>
      <c r="F573" s="38"/>
      <c r="G573" s="38"/>
      <c r="H573" s="38"/>
      <c r="I573" s="38"/>
      <c r="J573" s="38"/>
      <c r="K573" s="38"/>
      <c r="L573" s="244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</row>
    <row r="574">
      <c r="A574" s="38"/>
      <c r="B574" s="38"/>
      <c r="C574" s="243"/>
      <c r="D574" s="243"/>
      <c r="E574" s="38"/>
      <c r="F574" s="38"/>
      <c r="G574" s="38"/>
      <c r="H574" s="38"/>
      <c r="I574" s="38"/>
      <c r="J574" s="38"/>
      <c r="K574" s="38"/>
      <c r="L574" s="244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</row>
    <row r="575">
      <c r="A575" s="38"/>
      <c r="B575" s="38"/>
      <c r="C575" s="243"/>
      <c r="D575" s="243"/>
      <c r="E575" s="38"/>
      <c r="F575" s="38"/>
      <c r="G575" s="38"/>
      <c r="H575" s="38"/>
      <c r="I575" s="38"/>
      <c r="J575" s="38"/>
      <c r="K575" s="38"/>
      <c r="L575" s="244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</row>
    <row r="576">
      <c r="A576" s="38"/>
      <c r="B576" s="38"/>
      <c r="C576" s="243"/>
      <c r="D576" s="243"/>
      <c r="E576" s="38"/>
      <c r="F576" s="38"/>
      <c r="G576" s="38"/>
      <c r="H576" s="38"/>
      <c r="I576" s="38"/>
      <c r="J576" s="38"/>
      <c r="K576" s="38"/>
      <c r="L576" s="244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</row>
    <row r="577">
      <c r="A577" s="38"/>
      <c r="B577" s="38"/>
      <c r="C577" s="243"/>
      <c r="D577" s="243"/>
      <c r="E577" s="38"/>
      <c r="F577" s="38"/>
      <c r="G577" s="38"/>
      <c r="H577" s="38"/>
      <c r="I577" s="38"/>
      <c r="J577" s="38"/>
      <c r="K577" s="38"/>
      <c r="L577" s="244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</row>
    <row r="578">
      <c r="A578" s="38"/>
      <c r="B578" s="38"/>
      <c r="C578" s="243"/>
      <c r="D578" s="243"/>
      <c r="E578" s="38"/>
      <c r="F578" s="38"/>
      <c r="G578" s="38"/>
      <c r="H578" s="38"/>
      <c r="I578" s="38"/>
      <c r="J578" s="38"/>
      <c r="K578" s="38"/>
      <c r="L578" s="244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</row>
    <row r="579">
      <c r="A579" s="38"/>
      <c r="B579" s="38"/>
      <c r="C579" s="243"/>
      <c r="D579" s="243"/>
      <c r="E579" s="38"/>
      <c r="F579" s="38"/>
      <c r="G579" s="38"/>
      <c r="H579" s="38"/>
      <c r="I579" s="38"/>
      <c r="J579" s="38"/>
      <c r="K579" s="38"/>
      <c r="L579" s="244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</row>
    <row r="580">
      <c r="A580" s="38"/>
      <c r="B580" s="38"/>
      <c r="C580" s="243"/>
      <c r="D580" s="243"/>
      <c r="E580" s="38"/>
      <c r="F580" s="38"/>
      <c r="G580" s="38"/>
      <c r="H580" s="38"/>
      <c r="I580" s="38"/>
      <c r="J580" s="38"/>
      <c r="K580" s="38"/>
      <c r="L580" s="244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</row>
    <row r="581">
      <c r="A581" s="38"/>
      <c r="B581" s="38"/>
      <c r="C581" s="243"/>
      <c r="D581" s="243"/>
      <c r="E581" s="38"/>
      <c r="F581" s="38"/>
      <c r="G581" s="38"/>
      <c r="H581" s="38"/>
      <c r="I581" s="38"/>
      <c r="J581" s="38"/>
      <c r="K581" s="38"/>
      <c r="L581" s="244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</row>
    <row r="582">
      <c r="A582" s="38"/>
      <c r="B582" s="38"/>
      <c r="C582" s="243"/>
      <c r="D582" s="243"/>
      <c r="E582" s="38"/>
      <c r="F582" s="38"/>
      <c r="G582" s="38"/>
      <c r="H582" s="38"/>
      <c r="I582" s="38"/>
      <c r="J582" s="38"/>
      <c r="K582" s="38"/>
      <c r="L582" s="244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</row>
    <row r="583">
      <c r="A583" s="38"/>
      <c r="B583" s="38"/>
      <c r="C583" s="243"/>
      <c r="D583" s="243"/>
      <c r="E583" s="38"/>
      <c r="F583" s="38"/>
      <c r="G583" s="38"/>
      <c r="H583" s="38"/>
      <c r="I583" s="38"/>
      <c r="J583" s="38"/>
      <c r="K583" s="38"/>
      <c r="L583" s="244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</row>
    <row r="584">
      <c r="A584" s="38"/>
      <c r="B584" s="38"/>
      <c r="C584" s="243"/>
      <c r="D584" s="243"/>
      <c r="E584" s="38"/>
      <c r="F584" s="38"/>
      <c r="G584" s="38"/>
      <c r="H584" s="38"/>
      <c r="I584" s="38"/>
      <c r="J584" s="38"/>
      <c r="K584" s="38"/>
      <c r="L584" s="244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</row>
    <row r="585">
      <c r="A585" s="38"/>
      <c r="B585" s="38"/>
      <c r="C585" s="243"/>
      <c r="D585" s="243"/>
      <c r="E585" s="38"/>
      <c r="F585" s="38"/>
      <c r="G585" s="38"/>
      <c r="H585" s="38"/>
      <c r="I585" s="38"/>
      <c r="J585" s="38"/>
      <c r="K585" s="38"/>
      <c r="L585" s="244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</row>
    <row r="586">
      <c r="A586" s="38"/>
      <c r="B586" s="38"/>
      <c r="C586" s="243"/>
      <c r="D586" s="243"/>
      <c r="E586" s="38"/>
      <c r="F586" s="38"/>
      <c r="G586" s="38"/>
      <c r="H586" s="38"/>
      <c r="I586" s="38"/>
      <c r="J586" s="38"/>
      <c r="K586" s="38"/>
      <c r="L586" s="244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</row>
    <row r="587">
      <c r="A587" s="38"/>
      <c r="B587" s="38"/>
      <c r="C587" s="243"/>
      <c r="D587" s="243"/>
      <c r="E587" s="38"/>
      <c r="F587" s="38"/>
      <c r="G587" s="38"/>
      <c r="H587" s="38"/>
      <c r="I587" s="38"/>
      <c r="J587" s="38"/>
      <c r="K587" s="38"/>
      <c r="L587" s="244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</row>
    <row r="588">
      <c r="A588" s="38"/>
      <c r="B588" s="38"/>
      <c r="C588" s="243"/>
      <c r="D588" s="243"/>
      <c r="E588" s="38"/>
      <c r="F588" s="38"/>
      <c r="G588" s="38"/>
      <c r="H588" s="38"/>
      <c r="I588" s="38"/>
      <c r="J588" s="38"/>
      <c r="K588" s="38"/>
      <c r="L588" s="244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</row>
    <row r="589">
      <c r="A589" s="38"/>
      <c r="B589" s="38"/>
      <c r="C589" s="243"/>
      <c r="D589" s="243"/>
      <c r="E589" s="38"/>
      <c r="F589" s="38"/>
      <c r="G589" s="38"/>
      <c r="H589" s="38"/>
      <c r="I589" s="38"/>
      <c r="J589" s="38"/>
      <c r="K589" s="38"/>
      <c r="L589" s="244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</row>
    <row r="590">
      <c r="A590" s="38"/>
      <c r="B590" s="38"/>
      <c r="C590" s="243"/>
      <c r="D590" s="243"/>
      <c r="E590" s="38"/>
      <c r="F590" s="38"/>
      <c r="G590" s="38"/>
      <c r="H590" s="38"/>
      <c r="I590" s="38"/>
      <c r="J590" s="38"/>
      <c r="K590" s="38"/>
      <c r="L590" s="244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</row>
    <row r="591">
      <c r="A591" s="38"/>
      <c r="B591" s="38"/>
      <c r="C591" s="243"/>
      <c r="D591" s="243"/>
      <c r="E591" s="38"/>
      <c r="F591" s="38"/>
      <c r="G591" s="38"/>
      <c r="H591" s="38"/>
      <c r="I591" s="38"/>
      <c r="J591" s="38"/>
      <c r="K591" s="38"/>
      <c r="L591" s="244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</row>
    <row r="592">
      <c r="A592" s="38"/>
      <c r="B592" s="38"/>
      <c r="C592" s="243"/>
      <c r="D592" s="243"/>
      <c r="E592" s="38"/>
      <c r="F592" s="38"/>
      <c r="G592" s="38"/>
      <c r="H592" s="38"/>
      <c r="I592" s="38"/>
      <c r="J592" s="38"/>
      <c r="K592" s="38"/>
      <c r="L592" s="244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</row>
    <row r="593">
      <c r="A593" s="38"/>
      <c r="B593" s="38"/>
      <c r="C593" s="243"/>
      <c r="D593" s="243"/>
      <c r="E593" s="38"/>
      <c r="F593" s="38"/>
      <c r="G593" s="38"/>
      <c r="H593" s="38"/>
      <c r="I593" s="38"/>
      <c r="J593" s="38"/>
      <c r="K593" s="38"/>
      <c r="L593" s="244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</row>
    <row r="594">
      <c r="A594" s="38"/>
      <c r="B594" s="38"/>
      <c r="C594" s="243"/>
      <c r="D594" s="243"/>
      <c r="E594" s="38"/>
      <c r="F594" s="38"/>
      <c r="G594" s="38"/>
      <c r="H594" s="38"/>
      <c r="I594" s="38"/>
      <c r="J594" s="38"/>
      <c r="K594" s="38"/>
      <c r="L594" s="244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</row>
    <row r="595">
      <c r="A595" s="38"/>
      <c r="B595" s="38"/>
      <c r="C595" s="243"/>
      <c r="D595" s="243"/>
      <c r="E595" s="38"/>
      <c r="F595" s="38"/>
      <c r="G595" s="38"/>
      <c r="H595" s="38"/>
      <c r="I595" s="38"/>
      <c r="J595" s="38"/>
      <c r="K595" s="38"/>
      <c r="L595" s="244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</row>
    <row r="596">
      <c r="A596" s="38"/>
      <c r="B596" s="38"/>
      <c r="C596" s="243"/>
      <c r="D596" s="243"/>
      <c r="E596" s="38"/>
      <c r="F596" s="38"/>
      <c r="G596" s="38"/>
      <c r="H596" s="38"/>
      <c r="I596" s="38"/>
      <c r="J596" s="38"/>
      <c r="K596" s="38"/>
      <c r="L596" s="244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</row>
    <row r="597">
      <c r="A597" s="38"/>
      <c r="B597" s="38"/>
      <c r="C597" s="243"/>
      <c r="D597" s="243"/>
      <c r="E597" s="38"/>
      <c r="F597" s="38"/>
      <c r="G597" s="38"/>
      <c r="H597" s="38"/>
      <c r="I597" s="38"/>
      <c r="J597" s="38"/>
      <c r="K597" s="38"/>
      <c r="L597" s="244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</row>
    <row r="598">
      <c r="A598" s="38"/>
      <c r="B598" s="38"/>
      <c r="C598" s="243"/>
      <c r="D598" s="243"/>
      <c r="E598" s="38"/>
      <c r="F598" s="38"/>
      <c r="G598" s="38"/>
      <c r="H598" s="38"/>
      <c r="I598" s="38"/>
      <c r="J598" s="38"/>
      <c r="K598" s="38"/>
      <c r="L598" s="244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</row>
    <row r="599">
      <c r="A599" s="38"/>
      <c r="B599" s="38"/>
      <c r="C599" s="243"/>
      <c r="D599" s="243"/>
      <c r="E599" s="38"/>
      <c r="F599" s="38"/>
      <c r="G599" s="38"/>
      <c r="H599" s="38"/>
      <c r="I599" s="38"/>
      <c r="J599" s="38"/>
      <c r="K599" s="38"/>
      <c r="L599" s="244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</row>
    <row r="600">
      <c r="A600" s="38"/>
      <c r="B600" s="38"/>
      <c r="C600" s="243"/>
      <c r="D600" s="243"/>
      <c r="E600" s="38"/>
      <c r="F600" s="38"/>
      <c r="G600" s="38"/>
      <c r="H600" s="38"/>
      <c r="I600" s="38"/>
      <c r="J600" s="38"/>
      <c r="K600" s="38"/>
      <c r="L600" s="244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</row>
    <row r="601">
      <c r="A601" s="38"/>
      <c r="B601" s="38"/>
      <c r="C601" s="243"/>
      <c r="D601" s="243"/>
      <c r="E601" s="38"/>
      <c r="F601" s="38"/>
      <c r="G601" s="38"/>
      <c r="H601" s="38"/>
      <c r="I601" s="38"/>
      <c r="J601" s="38"/>
      <c r="K601" s="38"/>
      <c r="L601" s="244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</row>
    <row r="602">
      <c r="A602" s="38"/>
      <c r="B602" s="38"/>
      <c r="C602" s="243"/>
      <c r="D602" s="243"/>
      <c r="E602" s="38"/>
      <c r="F602" s="38"/>
      <c r="G602" s="38"/>
      <c r="H602" s="38"/>
      <c r="I602" s="38"/>
      <c r="J602" s="38"/>
      <c r="K602" s="38"/>
      <c r="L602" s="244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</row>
    <row r="603">
      <c r="A603" s="38"/>
      <c r="B603" s="38"/>
      <c r="C603" s="243"/>
      <c r="D603" s="243"/>
      <c r="E603" s="38"/>
      <c r="F603" s="38"/>
      <c r="G603" s="38"/>
      <c r="H603" s="38"/>
      <c r="I603" s="38"/>
      <c r="J603" s="38"/>
      <c r="K603" s="38"/>
      <c r="L603" s="244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</row>
    <row r="604">
      <c r="A604" s="38"/>
      <c r="B604" s="38"/>
      <c r="C604" s="243"/>
      <c r="D604" s="243"/>
      <c r="E604" s="38"/>
      <c r="F604" s="38"/>
      <c r="G604" s="38"/>
      <c r="H604" s="38"/>
      <c r="I604" s="38"/>
      <c r="J604" s="38"/>
      <c r="K604" s="38"/>
      <c r="L604" s="244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</row>
    <row r="605">
      <c r="A605" s="38"/>
      <c r="B605" s="38"/>
      <c r="C605" s="243"/>
      <c r="D605" s="243"/>
      <c r="E605" s="38"/>
      <c r="F605" s="38"/>
      <c r="G605" s="38"/>
      <c r="H605" s="38"/>
      <c r="I605" s="38"/>
      <c r="J605" s="38"/>
      <c r="K605" s="38"/>
      <c r="L605" s="244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</row>
    <row r="606">
      <c r="A606" s="38"/>
      <c r="B606" s="38"/>
      <c r="C606" s="243"/>
      <c r="D606" s="243"/>
      <c r="E606" s="38"/>
      <c r="F606" s="38"/>
      <c r="G606" s="38"/>
      <c r="H606" s="38"/>
      <c r="I606" s="38"/>
      <c r="J606" s="38"/>
      <c r="K606" s="38"/>
      <c r="L606" s="244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</row>
    <row r="607">
      <c r="A607" s="38"/>
      <c r="B607" s="38"/>
      <c r="C607" s="243"/>
      <c r="D607" s="243"/>
      <c r="E607" s="38"/>
      <c r="F607" s="38"/>
      <c r="G607" s="38"/>
      <c r="H607" s="38"/>
      <c r="I607" s="38"/>
      <c r="J607" s="38"/>
      <c r="K607" s="38"/>
      <c r="L607" s="244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</row>
    <row r="608">
      <c r="A608" s="38"/>
      <c r="B608" s="38"/>
      <c r="C608" s="243"/>
      <c r="D608" s="243"/>
      <c r="E608" s="38"/>
      <c r="F608" s="38"/>
      <c r="G608" s="38"/>
      <c r="H608" s="38"/>
      <c r="I608" s="38"/>
      <c r="J608" s="38"/>
      <c r="K608" s="38"/>
      <c r="L608" s="244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</row>
    <row r="609">
      <c r="A609" s="38"/>
      <c r="B609" s="38"/>
      <c r="C609" s="243"/>
      <c r="D609" s="243"/>
      <c r="E609" s="38"/>
      <c r="F609" s="38"/>
      <c r="G609" s="38"/>
      <c r="H609" s="38"/>
      <c r="I609" s="38"/>
      <c r="J609" s="38"/>
      <c r="K609" s="38"/>
      <c r="L609" s="244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</row>
    <row r="610">
      <c r="A610" s="38"/>
      <c r="B610" s="38"/>
      <c r="C610" s="243"/>
      <c r="D610" s="243"/>
      <c r="E610" s="38"/>
      <c r="F610" s="38"/>
      <c r="G610" s="38"/>
      <c r="H610" s="38"/>
      <c r="I610" s="38"/>
      <c r="J610" s="38"/>
      <c r="K610" s="38"/>
      <c r="L610" s="244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</row>
    <row r="611">
      <c r="A611" s="38"/>
      <c r="B611" s="38"/>
      <c r="C611" s="243"/>
      <c r="D611" s="243"/>
      <c r="E611" s="38"/>
      <c r="F611" s="38"/>
      <c r="G611" s="38"/>
      <c r="H611" s="38"/>
      <c r="I611" s="38"/>
      <c r="J611" s="38"/>
      <c r="K611" s="38"/>
      <c r="L611" s="244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</row>
    <row r="612">
      <c r="A612" s="38"/>
      <c r="B612" s="38"/>
      <c r="C612" s="243"/>
      <c r="D612" s="243"/>
      <c r="E612" s="38"/>
      <c r="F612" s="38"/>
      <c r="G612" s="38"/>
      <c r="H612" s="38"/>
      <c r="I612" s="38"/>
      <c r="J612" s="38"/>
      <c r="K612" s="38"/>
      <c r="L612" s="244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</row>
    <row r="613">
      <c r="A613" s="38"/>
      <c r="B613" s="38"/>
      <c r="C613" s="243"/>
      <c r="D613" s="243"/>
      <c r="E613" s="38"/>
      <c r="F613" s="38"/>
      <c r="G613" s="38"/>
      <c r="H613" s="38"/>
      <c r="I613" s="38"/>
      <c r="J613" s="38"/>
      <c r="K613" s="38"/>
      <c r="L613" s="244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</row>
    <row r="614">
      <c r="A614" s="38"/>
      <c r="B614" s="38"/>
      <c r="C614" s="243"/>
      <c r="D614" s="243"/>
      <c r="E614" s="38"/>
      <c r="F614" s="38"/>
      <c r="G614" s="38"/>
      <c r="H614" s="38"/>
      <c r="I614" s="38"/>
      <c r="J614" s="38"/>
      <c r="K614" s="38"/>
      <c r="L614" s="244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</row>
    <row r="615">
      <c r="A615" s="38"/>
      <c r="B615" s="38"/>
      <c r="C615" s="243"/>
      <c r="D615" s="243"/>
      <c r="E615" s="38"/>
      <c r="F615" s="38"/>
      <c r="G615" s="38"/>
      <c r="H615" s="38"/>
      <c r="I615" s="38"/>
      <c r="J615" s="38"/>
      <c r="K615" s="38"/>
      <c r="L615" s="244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</row>
    <row r="616">
      <c r="A616" s="38"/>
      <c r="B616" s="38"/>
      <c r="C616" s="243"/>
      <c r="D616" s="243"/>
      <c r="E616" s="38"/>
      <c r="F616" s="38"/>
      <c r="G616" s="38"/>
      <c r="H616" s="38"/>
      <c r="I616" s="38"/>
      <c r="J616" s="38"/>
      <c r="K616" s="38"/>
      <c r="L616" s="244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</row>
    <row r="617">
      <c r="A617" s="38"/>
      <c r="B617" s="38"/>
      <c r="C617" s="243"/>
      <c r="D617" s="243"/>
      <c r="E617" s="38"/>
      <c r="F617" s="38"/>
      <c r="G617" s="38"/>
      <c r="H617" s="38"/>
      <c r="I617" s="38"/>
      <c r="J617" s="38"/>
      <c r="K617" s="38"/>
      <c r="L617" s="244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</row>
    <row r="618">
      <c r="A618" s="38"/>
      <c r="B618" s="38"/>
      <c r="C618" s="243"/>
      <c r="D618" s="243"/>
      <c r="E618" s="38"/>
      <c r="F618" s="38"/>
      <c r="G618" s="38"/>
      <c r="H618" s="38"/>
      <c r="I618" s="38"/>
      <c r="J618" s="38"/>
      <c r="K618" s="38"/>
      <c r="L618" s="244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</row>
    <row r="619">
      <c r="A619" s="38"/>
      <c r="B619" s="38"/>
      <c r="C619" s="243"/>
      <c r="D619" s="243"/>
      <c r="E619" s="38"/>
      <c r="F619" s="38"/>
      <c r="G619" s="38"/>
      <c r="H619" s="38"/>
      <c r="I619" s="38"/>
      <c r="J619" s="38"/>
      <c r="K619" s="38"/>
      <c r="L619" s="244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</row>
    <row r="620">
      <c r="A620" s="38"/>
      <c r="B620" s="38"/>
      <c r="C620" s="243"/>
      <c r="D620" s="243"/>
      <c r="E620" s="38"/>
      <c r="F620" s="38"/>
      <c r="G620" s="38"/>
      <c r="H620" s="38"/>
      <c r="I620" s="38"/>
      <c r="J620" s="38"/>
      <c r="K620" s="38"/>
      <c r="L620" s="244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</row>
    <row r="621">
      <c r="A621" s="38"/>
      <c r="B621" s="38"/>
      <c r="C621" s="243"/>
      <c r="D621" s="243"/>
      <c r="E621" s="38"/>
      <c r="F621" s="38"/>
      <c r="G621" s="38"/>
      <c r="H621" s="38"/>
      <c r="I621" s="38"/>
      <c r="J621" s="38"/>
      <c r="K621" s="38"/>
      <c r="L621" s="244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</row>
    <row r="622">
      <c r="A622" s="38"/>
      <c r="B622" s="38"/>
      <c r="C622" s="243"/>
      <c r="D622" s="243"/>
      <c r="E622" s="38"/>
      <c r="F622" s="38"/>
      <c r="G622" s="38"/>
      <c r="H622" s="38"/>
      <c r="I622" s="38"/>
      <c r="J622" s="38"/>
      <c r="K622" s="38"/>
      <c r="L622" s="244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</row>
    <row r="623">
      <c r="A623" s="38"/>
      <c r="B623" s="38"/>
      <c r="C623" s="243"/>
      <c r="D623" s="243"/>
      <c r="E623" s="38"/>
      <c r="F623" s="38"/>
      <c r="G623" s="38"/>
      <c r="H623" s="38"/>
      <c r="I623" s="38"/>
      <c r="J623" s="38"/>
      <c r="K623" s="38"/>
      <c r="L623" s="244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</row>
    <row r="624">
      <c r="A624" s="38"/>
      <c r="B624" s="38"/>
      <c r="C624" s="243"/>
      <c r="D624" s="243"/>
      <c r="E624" s="38"/>
      <c r="F624" s="38"/>
      <c r="G624" s="38"/>
      <c r="H624" s="38"/>
      <c r="I624" s="38"/>
      <c r="J624" s="38"/>
      <c r="K624" s="38"/>
      <c r="L624" s="244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</row>
    <row r="625">
      <c r="A625" s="38"/>
      <c r="B625" s="38"/>
      <c r="C625" s="243"/>
      <c r="D625" s="243"/>
      <c r="E625" s="38"/>
      <c r="F625" s="38"/>
      <c r="G625" s="38"/>
      <c r="H625" s="38"/>
      <c r="I625" s="38"/>
      <c r="J625" s="38"/>
      <c r="K625" s="38"/>
      <c r="L625" s="244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</row>
    <row r="626">
      <c r="A626" s="38"/>
      <c r="B626" s="38"/>
      <c r="C626" s="243"/>
      <c r="D626" s="243"/>
      <c r="E626" s="38"/>
      <c r="F626" s="38"/>
      <c r="G626" s="38"/>
      <c r="H626" s="38"/>
      <c r="I626" s="38"/>
      <c r="J626" s="38"/>
      <c r="K626" s="38"/>
      <c r="L626" s="244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</row>
    <row r="627">
      <c r="A627" s="38"/>
      <c r="B627" s="38"/>
      <c r="C627" s="243"/>
      <c r="D627" s="243"/>
      <c r="E627" s="38"/>
      <c r="F627" s="38"/>
      <c r="G627" s="38"/>
      <c r="H627" s="38"/>
      <c r="I627" s="38"/>
      <c r="J627" s="38"/>
      <c r="K627" s="38"/>
      <c r="L627" s="244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</row>
    <row r="628">
      <c r="A628" s="38"/>
      <c r="B628" s="38"/>
      <c r="C628" s="243"/>
      <c r="D628" s="243"/>
      <c r="E628" s="38"/>
      <c r="F628" s="38"/>
      <c r="G628" s="38"/>
      <c r="H628" s="38"/>
      <c r="I628" s="38"/>
      <c r="J628" s="38"/>
      <c r="K628" s="38"/>
      <c r="L628" s="244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</row>
    <row r="629">
      <c r="A629" s="38"/>
      <c r="B629" s="38"/>
      <c r="C629" s="243"/>
      <c r="D629" s="243"/>
      <c r="E629" s="38"/>
      <c r="F629" s="38"/>
      <c r="G629" s="38"/>
      <c r="H629" s="38"/>
      <c r="I629" s="38"/>
      <c r="J629" s="38"/>
      <c r="K629" s="38"/>
      <c r="L629" s="244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</row>
    <row r="630">
      <c r="A630" s="38"/>
      <c r="B630" s="38"/>
      <c r="C630" s="243"/>
      <c r="D630" s="243"/>
      <c r="E630" s="38"/>
      <c r="F630" s="38"/>
      <c r="G630" s="38"/>
      <c r="H630" s="38"/>
      <c r="I630" s="38"/>
      <c r="J630" s="38"/>
      <c r="K630" s="38"/>
      <c r="L630" s="244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</row>
    <row r="631">
      <c r="A631" s="38"/>
      <c r="B631" s="38"/>
      <c r="C631" s="243"/>
      <c r="D631" s="243"/>
      <c r="E631" s="38"/>
      <c r="F631" s="38"/>
      <c r="G631" s="38"/>
      <c r="H631" s="38"/>
      <c r="I631" s="38"/>
      <c r="J631" s="38"/>
      <c r="K631" s="38"/>
      <c r="L631" s="244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</row>
    <row r="632">
      <c r="A632" s="38"/>
      <c r="B632" s="38"/>
      <c r="C632" s="243"/>
      <c r="D632" s="243"/>
      <c r="E632" s="38"/>
      <c r="F632" s="38"/>
      <c r="G632" s="38"/>
      <c r="H632" s="38"/>
      <c r="I632" s="38"/>
      <c r="J632" s="38"/>
      <c r="K632" s="38"/>
      <c r="L632" s="244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</row>
    <row r="633">
      <c r="A633" s="38"/>
      <c r="B633" s="38"/>
      <c r="C633" s="243"/>
      <c r="D633" s="243"/>
      <c r="E633" s="38"/>
      <c r="F633" s="38"/>
      <c r="G633" s="38"/>
      <c r="H633" s="38"/>
      <c r="I633" s="38"/>
      <c r="J633" s="38"/>
      <c r="K633" s="38"/>
      <c r="L633" s="244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</row>
    <row r="634">
      <c r="A634" s="38"/>
      <c r="B634" s="38"/>
      <c r="C634" s="243"/>
      <c r="D634" s="243"/>
      <c r="E634" s="38"/>
      <c r="F634" s="38"/>
      <c r="G634" s="38"/>
      <c r="H634" s="38"/>
      <c r="I634" s="38"/>
      <c r="J634" s="38"/>
      <c r="K634" s="38"/>
      <c r="L634" s="244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</row>
    <row r="635">
      <c r="A635" s="38"/>
      <c r="B635" s="38"/>
      <c r="C635" s="243"/>
      <c r="D635" s="243"/>
      <c r="E635" s="38"/>
      <c r="F635" s="38"/>
      <c r="G635" s="38"/>
      <c r="H635" s="38"/>
      <c r="I635" s="38"/>
      <c r="J635" s="38"/>
      <c r="K635" s="38"/>
      <c r="L635" s="244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</row>
    <row r="636">
      <c r="A636" s="38"/>
      <c r="B636" s="38"/>
      <c r="C636" s="243"/>
      <c r="D636" s="243"/>
      <c r="E636" s="38"/>
      <c r="F636" s="38"/>
      <c r="G636" s="38"/>
      <c r="H636" s="38"/>
      <c r="I636" s="38"/>
      <c r="J636" s="38"/>
      <c r="K636" s="38"/>
      <c r="L636" s="244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</row>
    <row r="637">
      <c r="A637" s="38"/>
      <c r="B637" s="38"/>
      <c r="C637" s="243"/>
      <c r="D637" s="243"/>
      <c r="E637" s="38"/>
      <c r="F637" s="38"/>
      <c r="G637" s="38"/>
      <c r="H637" s="38"/>
      <c r="I637" s="38"/>
      <c r="J637" s="38"/>
      <c r="K637" s="38"/>
      <c r="L637" s="244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</row>
    <row r="638">
      <c r="A638" s="38"/>
      <c r="B638" s="38"/>
      <c r="C638" s="243"/>
      <c r="D638" s="243"/>
      <c r="E638" s="38"/>
      <c r="F638" s="38"/>
      <c r="G638" s="38"/>
      <c r="H638" s="38"/>
      <c r="I638" s="38"/>
      <c r="J638" s="38"/>
      <c r="K638" s="38"/>
      <c r="L638" s="244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</row>
    <row r="639">
      <c r="A639" s="38"/>
      <c r="B639" s="38"/>
      <c r="C639" s="243"/>
      <c r="D639" s="243"/>
      <c r="E639" s="38"/>
      <c r="F639" s="38"/>
      <c r="G639" s="38"/>
      <c r="H639" s="38"/>
      <c r="I639" s="38"/>
      <c r="J639" s="38"/>
      <c r="K639" s="38"/>
      <c r="L639" s="244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</row>
    <row r="640">
      <c r="A640" s="38"/>
      <c r="B640" s="38"/>
      <c r="C640" s="243"/>
      <c r="D640" s="243"/>
      <c r="E640" s="38"/>
      <c r="F640" s="38"/>
      <c r="G640" s="38"/>
      <c r="H640" s="38"/>
      <c r="I640" s="38"/>
      <c r="J640" s="38"/>
      <c r="K640" s="38"/>
      <c r="L640" s="244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</row>
    <row r="641">
      <c r="A641" s="38"/>
      <c r="B641" s="38"/>
      <c r="C641" s="243"/>
      <c r="D641" s="243"/>
      <c r="E641" s="38"/>
      <c r="F641" s="38"/>
      <c r="G641" s="38"/>
      <c r="H641" s="38"/>
      <c r="I641" s="38"/>
      <c r="J641" s="38"/>
      <c r="K641" s="38"/>
      <c r="L641" s="244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</row>
    <row r="642">
      <c r="A642" s="38"/>
      <c r="B642" s="38"/>
      <c r="C642" s="243"/>
      <c r="D642" s="243"/>
      <c r="E642" s="38"/>
      <c r="F642" s="38"/>
      <c r="G642" s="38"/>
      <c r="H642" s="38"/>
      <c r="I642" s="38"/>
      <c r="J642" s="38"/>
      <c r="K642" s="38"/>
      <c r="L642" s="244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</row>
    <row r="643">
      <c r="A643" s="38"/>
      <c r="B643" s="38"/>
      <c r="C643" s="243"/>
      <c r="D643" s="243"/>
      <c r="E643" s="38"/>
      <c r="F643" s="38"/>
      <c r="G643" s="38"/>
      <c r="H643" s="38"/>
      <c r="I643" s="38"/>
      <c r="J643" s="38"/>
      <c r="K643" s="38"/>
      <c r="L643" s="244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</row>
    <row r="644">
      <c r="A644" s="38"/>
      <c r="B644" s="38"/>
      <c r="C644" s="243"/>
      <c r="D644" s="243"/>
      <c r="E644" s="38"/>
      <c r="F644" s="38"/>
      <c r="G644" s="38"/>
      <c r="H644" s="38"/>
      <c r="I644" s="38"/>
      <c r="J644" s="38"/>
      <c r="K644" s="38"/>
      <c r="L644" s="244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</row>
    <row r="645">
      <c r="A645" s="38"/>
      <c r="B645" s="38"/>
      <c r="C645" s="243"/>
      <c r="D645" s="243"/>
      <c r="E645" s="38"/>
      <c r="F645" s="38"/>
      <c r="G645" s="38"/>
      <c r="H645" s="38"/>
      <c r="I645" s="38"/>
      <c r="J645" s="38"/>
      <c r="K645" s="38"/>
      <c r="L645" s="244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</row>
    <row r="646">
      <c r="A646" s="38"/>
      <c r="B646" s="38"/>
      <c r="C646" s="243"/>
      <c r="D646" s="243"/>
      <c r="E646" s="38"/>
      <c r="F646" s="38"/>
      <c r="G646" s="38"/>
      <c r="H646" s="38"/>
      <c r="I646" s="38"/>
      <c r="J646" s="38"/>
      <c r="K646" s="38"/>
      <c r="L646" s="244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</row>
    <row r="647">
      <c r="A647" s="38"/>
      <c r="B647" s="38"/>
      <c r="C647" s="243"/>
      <c r="D647" s="243"/>
      <c r="E647" s="38"/>
      <c r="F647" s="38"/>
      <c r="G647" s="38"/>
      <c r="H647" s="38"/>
      <c r="I647" s="38"/>
      <c r="J647" s="38"/>
      <c r="K647" s="38"/>
      <c r="L647" s="244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</row>
    <row r="648">
      <c r="A648" s="38"/>
      <c r="B648" s="38"/>
      <c r="C648" s="243"/>
      <c r="D648" s="243"/>
      <c r="E648" s="38"/>
      <c r="F648" s="38"/>
      <c r="G648" s="38"/>
      <c r="H648" s="38"/>
      <c r="I648" s="38"/>
      <c r="J648" s="38"/>
      <c r="K648" s="38"/>
      <c r="L648" s="244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</row>
    <row r="649">
      <c r="A649" s="38"/>
      <c r="B649" s="38"/>
      <c r="C649" s="243"/>
      <c r="D649" s="243"/>
      <c r="E649" s="38"/>
      <c r="F649" s="38"/>
      <c r="G649" s="38"/>
      <c r="H649" s="38"/>
      <c r="I649" s="38"/>
      <c r="J649" s="38"/>
      <c r="K649" s="38"/>
      <c r="L649" s="244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</row>
    <row r="650">
      <c r="A650" s="38"/>
      <c r="B650" s="38"/>
      <c r="C650" s="243"/>
      <c r="D650" s="243"/>
      <c r="E650" s="38"/>
      <c r="F650" s="38"/>
      <c r="G650" s="38"/>
      <c r="H650" s="38"/>
      <c r="I650" s="38"/>
      <c r="J650" s="38"/>
      <c r="K650" s="38"/>
      <c r="L650" s="244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</row>
    <row r="651">
      <c r="A651" s="38"/>
      <c r="B651" s="38"/>
      <c r="C651" s="243"/>
      <c r="D651" s="243"/>
      <c r="E651" s="38"/>
      <c r="F651" s="38"/>
      <c r="G651" s="38"/>
      <c r="H651" s="38"/>
      <c r="I651" s="38"/>
      <c r="J651" s="38"/>
      <c r="K651" s="38"/>
      <c r="L651" s="244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</row>
    <row r="652">
      <c r="A652" s="38"/>
      <c r="B652" s="38"/>
      <c r="C652" s="243"/>
      <c r="D652" s="243"/>
      <c r="E652" s="38"/>
      <c r="F652" s="38"/>
      <c r="G652" s="38"/>
      <c r="H652" s="38"/>
      <c r="I652" s="38"/>
      <c r="J652" s="38"/>
      <c r="K652" s="38"/>
      <c r="L652" s="244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</row>
    <row r="653">
      <c r="A653" s="38"/>
      <c r="B653" s="38"/>
      <c r="C653" s="243"/>
      <c r="D653" s="243"/>
      <c r="E653" s="38"/>
      <c r="F653" s="38"/>
      <c r="G653" s="38"/>
      <c r="H653" s="38"/>
      <c r="I653" s="38"/>
      <c r="J653" s="38"/>
      <c r="K653" s="38"/>
      <c r="L653" s="244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</row>
    <row r="654">
      <c r="A654" s="38"/>
      <c r="B654" s="38"/>
      <c r="C654" s="243"/>
      <c r="D654" s="243"/>
      <c r="E654" s="38"/>
      <c r="F654" s="38"/>
      <c r="G654" s="38"/>
      <c r="H654" s="38"/>
      <c r="I654" s="38"/>
      <c r="J654" s="38"/>
      <c r="K654" s="38"/>
      <c r="L654" s="244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</row>
    <row r="655">
      <c r="A655" s="38"/>
      <c r="B655" s="38"/>
      <c r="C655" s="243"/>
      <c r="D655" s="243"/>
      <c r="E655" s="38"/>
      <c r="F655" s="38"/>
      <c r="G655" s="38"/>
      <c r="H655" s="38"/>
      <c r="I655" s="38"/>
      <c r="J655" s="38"/>
      <c r="K655" s="38"/>
      <c r="L655" s="244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</row>
    <row r="656">
      <c r="A656" s="38"/>
      <c r="B656" s="38"/>
      <c r="C656" s="243"/>
      <c r="D656" s="243"/>
      <c r="E656" s="38"/>
      <c r="F656" s="38"/>
      <c r="G656" s="38"/>
      <c r="H656" s="38"/>
      <c r="I656" s="38"/>
      <c r="J656" s="38"/>
      <c r="K656" s="38"/>
      <c r="L656" s="244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</row>
    <row r="657">
      <c r="A657" s="38"/>
      <c r="B657" s="38"/>
      <c r="C657" s="243"/>
      <c r="D657" s="243"/>
      <c r="E657" s="38"/>
      <c r="F657" s="38"/>
      <c r="G657" s="38"/>
      <c r="H657" s="38"/>
      <c r="I657" s="38"/>
      <c r="J657" s="38"/>
      <c r="K657" s="38"/>
      <c r="L657" s="244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</row>
    <row r="658">
      <c r="A658" s="38"/>
      <c r="B658" s="38"/>
      <c r="C658" s="243"/>
      <c r="D658" s="243"/>
      <c r="E658" s="38"/>
      <c r="F658" s="38"/>
      <c r="G658" s="38"/>
      <c r="H658" s="38"/>
      <c r="I658" s="38"/>
      <c r="J658" s="38"/>
      <c r="K658" s="38"/>
      <c r="L658" s="244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</row>
    <row r="659">
      <c r="A659" s="38"/>
      <c r="B659" s="38"/>
      <c r="C659" s="243"/>
      <c r="D659" s="243"/>
      <c r="E659" s="38"/>
      <c r="F659" s="38"/>
      <c r="G659" s="38"/>
      <c r="H659" s="38"/>
      <c r="I659" s="38"/>
      <c r="J659" s="38"/>
      <c r="K659" s="38"/>
      <c r="L659" s="244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</row>
    <row r="660">
      <c r="A660" s="38"/>
      <c r="B660" s="38"/>
      <c r="C660" s="243"/>
      <c r="D660" s="243"/>
      <c r="E660" s="38"/>
      <c r="F660" s="38"/>
      <c r="G660" s="38"/>
      <c r="H660" s="38"/>
      <c r="I660" s="38"/>
      <c r="J660" s="38"/>
      <c r="K660" s="38"/>
      <c r="L660" s="244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</row>
    <row r="661">
      <c r="A661" s="38"/>
      <c r="B661" s="38"/>
      <c r="C661" s="243"/>
      <c r="D661" s="243"/>
      <c r="E661" s="38"/>
      <c r="F661" s="38"/>
      <c r="G661" s="38"/>
      <c r="H661" s="38"/>
      <c r="I661" s="38"/>
      <c r="J661" s="38"/>
      <c r="K661" s="38"/>
      <c r="L661" s="244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</row>
    <row r="662">
      <c r="A662" s="38"/>
      <c r="B662" s="38"/>
      <c r="C662" s="243"/>
      <c r="D662" s="243"/>
      <c r="E662" s="38"/>
      <c r="F662" s="38"/>
      <c r="G662" s="38"/>
      <c r="H662" s="38"/>
      <c r="I662" s="38"/>
      <c r="J662" s="38"/>
      <c r="K662" s="38"/>
      <c r="L662" s="244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</row>
    <row r="663">
      <c r="A663" s="38"/>
      <c r="B663" s="38"/>
      <c r="C663" s="243"/>
      <c r="D663" s="243"/>
      <c r="E663" s="38"/>
      <c r="F663" s="38"/>
      <c r="G663" s="38"/>
      <c r="H663" s="38"/>
      <c r="I663" s="38"/>
      <c r="J663" s="38"/>
      <c r="K663" s="38"/>
      <c r="L663" s="244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</row>
    <row r="664">
      <c r="A664" s="38"/>
      <c r="B664" s="38"/>
      <c r="C664" s="243"/>
      <c r="D664" s="243"/>
      <c r="E664" s="38"/>
      <c r="F664" s="38"/>
      <c r="G664" s="38"/>
      <c r="H664" s="38"/>
      <c r="I664" s="38"/>
      <c r="J664" s="38"/>
      <c r="K664" s="38"/>
      <c r="L664" s="244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</row>
    <row r="665">
      <c r="A665" s="38"/>
      <c r="B665" s="38"/>
      <c r="C665" s="243"/>
      <c r="D665" s="243"/>
      <c r="E665" s="38"/>
      <c r="F665" s="38"/>
      <c r="G665" s="38"/>
      <c r="H665" s="38"/>
      <c r="I665" s="38"/>
      <c r="J665" s="38"/>
      <c r="K665" s="38"/>
      <c r="L665" s="244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</row>
    <row r="666">
      <c r="A666" s="38"/>
      <c r="B666" s="38"/>
      <c r="C666" s="243"/>
      <c r="D666" s="243"/>
      <c r="E666" s="38"/>
      <c r="F666" s="38"/>
      <c r="G666" s="38"/>
      <c r="H666" s="38"/>
      <c r="I666" s="38"/>
      <c r="J666" s="38"/>
      <c r="K666" s="38"/>
      <c r="L666" s="244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</row>
    <row r="667">
      <c r="A667" s="38"/>
      <c r="B667" s="38"/>
      <c r="C667" s="243"/>
      <c r="D667" s="243"/>
      <c r="E667" s="38"/>
      <c r="F667" s="38"/>
      <c r="G667" s="38"/>
      <c r="H667" s="38"/>
      <c r="I667" s="38"/>
      <c r="J667" s="38"/>
      <c r="K667" s="38"/>
      <c r="L667" s="244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</row>
    <row r="668">
      <c r="A668" s="38"/>
      <c r="B668" s="38"/>
      <c r="C668" s="243"/>
      <c r="D668" s="243"/>
      <c r="E668" s="38"/>
      <c r="F668" s="38"/>
      <c r="G668" s="38"/>
      <c r="H668" s="38"/>
      <c r="I668" s="38"/>
      <c r="J668" s="38"/>
      <c r="K668" s="38"/>
      <c r="L668" s="244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</row>
    <row r="669">
      <c r="A669" s="38"/>
      <c r="B669" s="38"/>
      <c r="C669" s="243"/>
      <c r="D669" s="243"/>
      <c r="E669" s="38"/>
      <c r="F669" s="38"/>
      <c r="G669" s="38"/>
      <c r="H669" s="38"/>
      <c r="I669" s="38"/>
      <c r="J669" s="38"/>
      <c r="K669" s="38"/>
      <c r="L669" s="244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</row>
    <row r="670">
      <c r="A670" s="38"/>
      <c r="B670" s="38"/>
      <c r="C670" s="243"/>
      <c r="D670" s="243"/>
      <c r="E670" s="38"/>
      <c r="F670" s="38"/>
      <c r="G670" s="38"/>
      <c r="H670" s="38"/>
      <c r="I670" s="38"/>
      <c r="J670" s="38"/>
      <c r="K670" s="38"/>
      <c r="L670" s="244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</row>
    <row r="671">
      <c r="A671" s="38"/>
      <c r="B671" s="38"/>
      <c r="C671" s="243"/>
      <c r="D671" s="243"/>
      <c r="E671" s="38"/>
      <c r="F671" s="38"/>
      <c r="G671" s="38"/>
      <c r="H671" s="38"/>
      <c r="I671" s="38"/>
      <c r="J671" s="38"/>
      <c r="K671" s="38"/>
      <c r="L671" s="244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</row>
    <row r="672">
      <c r="A672" s="38"/>
      <c r="B672" s="38"/>
      <c r="C672" s="243"/>
      <c r="D672" s="243"/>
      <c r="E672" s="38"/>
      <c r="F672" s="38"/>
      <c r="G672" s="38"/>
      <c r="H672" s="38"/>
      <c r="I672" s="38"/>
      <c r="J672" s="38"/>
      <c r="K672" s="38"/>
      <c r="L672" s="244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</row>
    <row r="673">
      <c r="A673" s="38"/>
      <c r="B673" s="38"/>
      <c r="C673" s="243"/>
      <c r="D673" s="243"/>
      <c r="E673" s="38"/>
      <c r="F673" s="38"/>
      <c r="G673" s="38"/>
      <c r="H673" s="38"/>
      <c r="I673" s="38"/>
      <c r="J673" s="38"/>
      <c r="K673" s="38"/>
      <c r="L673" s="244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</row>
    <row r="674">
      <c r="A674" s="38"/>
      <c r="B674" s="38"/>
      <c r="C674" s="243"/>
      <c r="D674" s="243"/>
      <c r="E674" s="38"/>
      <c r="F674" s="38"/>
      <c r="G674" s="38"/>
      <c r="H674" s="38"/>
      <c r="I674" s="38"/>
      <c r="J674" s="38"/>
      <c r="K674" s="38"/>
      <c r="L674" s="244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</row>
    <row r="675">
      <c r="A675" s="38"/>
      <c r="B675" s="38"/>
      <c r="C675" s="243"/>
      <c r="D675" s="243"/>
      <c r="E675" s="38"/>
      <c r="F675" s="38"/>
      <c r="G675" s="38"/>
      <c r="H675" s="38"/>
      <c r="I675" s="38"/>
      <c r="J675" s="38"/>
      <c r="K675" s="38"/>
      <c r="L675" s="244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</row>
    <row r="676">
      <c r="A676" s="38"/>
      <c r="B676" s="38"/>
      <c r="C676" s="243"/>
      <c r="D676" s="243"/>
      <c r="E676" s="38"/>
      <c r="F676" s="38"/>
      <c r="G676" s="38"/>
      <c r="H676" s="38"/>
      <c r="I676" s="38"/>
      <c r="J676" s="38"/>
      <c r="K676" s="38"/>
      <c r="L676" s="244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</row>
    <row r="677">
      <c r="A677" s="38"/>
      <c r="B677" s="38"/>
      <c r="C677" s="243"/>
      <c r="D677" s="243"/>
      <c r="E677" s="38"/>
      <c r="F677" s="38"/>
      <c r="G677" s="38"/>
      <c r="H677" s="38"/>
      <c r="I677" s="38"/>
      <c r="J677" s="38"/>
      <c r="K677" s="38"/>
      <c r="L677" s="244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</row>
    <row r="678">
      <c r="A678" s="38"/>
      <c r="B678" s="38"/>
      <c r="C678" s="243"/>
      <c r="D678" s="243"/>
      <c r="E678" s="38"/>
      <c r="F678" s="38"/>
      <c r="G678" s="38"/>
      <c r="H678" s="38"/>
      <c r="I678" s="38"/>
      <c r="J678" s="38"/>
      <c r="K678" s="38"/>
      <c r="L678" s="244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</row>
    <row r="679">
      <c r="A679" s="38"/>
      <c r="B679" s="38"/>
      <c r="C679" s="243"/>
      <c r="D679" s="243"/>
      <c r="E679" s="38"/>
      <c r="F679" s="38"/>
      <c r="G679" s="38"/>
      <c r="H679" s="38"/>
      <c r="I679" s="38"/>
      <c r="J679" s="38"/>
      <c r="K679" s="38"/>
      <c r="L679" s="244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</row>
    <row r="680">
      <c r="A680" s="38"/>
      <c r="B680" s="38"/>
      <c r="C680" s="243"/>
      <c r="D680" s="243"/>
      <c r="E680" s="38"/>
      <c r="F680" s="38"/>
      <c r="G680" s="38"/>
      <c r="H680" s="38"/>
      <c r="I680" s="38"/>
      <c r="J680" s="38"/>
      <c r="K680" s="38"/>
      <c r="L680" s="244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</row>
    <row r="681">
      <c r="A681" s="38"/>
      <c r="B681" s="38"/>
      <c r="C681" s="243"/>
      <c r="D681" s="243"/>
      <c r="E681" s="38"/>
      <c r="F681" s="38"/>
      <c r="G681" s="38"/>
      <c r="H681" s="38"/>
      <c r="I681" s="38"/>
      <c r="J681" s="38"/>
      <c r="K681" s="38"/>
      <c r="L681" s="244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</row>
    <row r="682">
      <c r="A682" s="38"/>
      <c r="B682" s="38"/>
      <c r="C682" s="243"/>
      <c r="D682" s="243"/>
      <c r="E682" s="38"/>
      <c r="F682" s="38"/>
      <c r="G682" s="38"/>
      <c r="H682" s="38"/>
      <c r="I682" s="38"/>
      <c r="J682" s="38"/>
      <c r="K682" s="38"/>
      <c r="L682" s="244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</row>
    <row r="683">
      <c r="A683" s="38"/>
      <c r="B683" s="38"/>
      <c r="C683" s="243"/>
      <c r="D683" s="243"/>
      <c r="E683" s="38"/>
      <c r="F683" s="38"/>
      <c r="G683" s="38"/>
      <c r="H683" s="38"/>
      <c r="I683" s="38"/>
      <c r="J683" s="38"/>
      <c r="K683" s="38"/>
      <c r="L683" s="244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</row>
    <row r="684">
      <c r="A684" s="38"/>
      <c r="B684" s="38"/>
      <c r="C684" s="243"/>
      <c r="D684" s="243"/>
      <c r="E684" s="38"/>
      <c r="F684" s="38"/>
      <c r="G684" s="38"/>
      <c r="H684" s="38"/>
      <c r="I684" s="38"/>
      <c r="J684" s="38"/>
      <c r="K684" s="38"/>
      <c r="L684" s="244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</row>
    <row r="685">
      <c r="A685" s="38"/>
      <c r="B685" s="38"/>
      <c r="C685" s="243"/>
      <c r="D685" s="243"/>
      <c r="E685" s="38"/>
      <c r="F685" s="38"/>
      <c r="G685" s="38"/>
      <c r="H685" s="38"/>
      <c r="I685" s="38"/>
      <c r="J685" s="38"/>
      <c r="K685" s="38"/>
      <c r="L685" s="244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</row>
    <row r="686">
      <c r="A686" s="38"/>
      <c r="B686" s="38"/>
      <c r="C686" s="243"/>
      <c r="D686" s="243"/>
      <c r="E686" s="38"/>
      <c r="F686" s="38"/>
      <c r="G686" s="38"/>
      <c r="H686" s="38"/>
      <c r="I686" s="38"/>
      <c r="J686" s="38"/>
      <c r="K686" s="38"/>
      <c r="L686" s="244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</row>
    <row r="687">
      <c r="A687" s="38"/>
      <c r="B687" s="38"/>
      <c r="C687" s="243"/>
      <c r="D687" s="243"/>
      <c r="E687" s="38"/>
      <c r="F687" s="38"/>
      <c r="G687" s="38"/>
      <c r="H687" s="38"/>
      <c r="I687" s="38"/>
      <c r="J687" s="38"/>
      <c r="K687" s="38"/>
      <c r="L687" s="244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</row>
    <row r="688">
      <c r="A688" s="38"/>
      <c r="B688" s="38"/>
      <c r="C688" s="243"/>
      <c r="D688" s="243"/>
      <c r="E688" s="38"/>
      <c r="F688" s="38"/>
      <c r="G688" s="38"/>
      <c r="H688" s="38"/>
      <c r="I688" s="38"/>
      <c r="J688" s="38"/>
      <c r="K688" s="38"/>
      <c r="L688" s="244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</row>
    <row r="689">
      <c r="A689" s="38"/>
      <c r="B689" s="38"/>
      <c r="C689" s="243"/>
      <c r="D689" s="243"/>
      <c r="E689" s="38"/>
      <c r="F689" s="38"/>
      <c r="G689" s="38"/>
      <c r="H689" s="38"/>
      <c r="I689" s="38"/>
      <c r="J689" s="38"/>
      <c r="K689" s="38"/>
      <c r="L689" s="244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</row>
    <row r="690">
      <c r="A690" s="38"/>
      <c r="B690" s="38"/>
      <c r="C690" s="243"/>
      <c r="D690" s="243"/>
      <c r="E690" s="38"/>
      <c r="F690" s="38"/>
      <c r="G690" s="38"/>
      <c r="H690" s="38"/>
      <c r="I690" s="38"/>
      <c r="J690" s="38"/>
      <c r="K690" s="38"/>
      <c r="L690" s="244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</row>
    <row r="691">
      <c r="A691" s="38"/>
      <c r="B691" s="38"/>
      <c r="C691" s="243"/>
      <c r="D691" s="243"/>
      <c r="E691" s="38"/>
      <c r="F691" s="38"/>
      <c r="G691" s="38"/>
      <c r="H691" s="38"/>
      <c r="I691" s="38"/>
      <c r="J691" s="38"/>
      <c r="K691" s="38"/>
      <c r="L691" s="244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</row>
    <row r="692">
      <c r="A692" s="38"/>
      <c r="B692" s="38"/>
      <c r="C692" s="243"/>
      <c r="D692" s="243"/>
      <c r="E692" s="38"/>
      <c r="F692" s="38"/>
      <c r="G692" s="38"/>
      <c r="H692" s="38"/>
      <c r="I692" s="38"/>
      <c r="J692" s="38"/>
      <c r="K692" s="38"/>
      <c r="L692" s="244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</row>
    <row r="693">
      <c r="A693" s="38"/>
      <c r="B693" s="38"/>
      <c r="C693" s="243"/>
      <c r="D693" s="243"/>
      <c r="E693" s="38"/>
      <c r="F693" s="38"/>
      <c r="G693" s="38"/>
      <c r="H693" s="38"/>
      <c r="I693" s="38"/>
      <c r="J693" s="38"/>
      <c r="K693" s="38"/>
      <c r="L693" s="244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</row>
    <row r="694">
      <c r="A694" s="38"/>
      <c r="B694" s="38"/>
      <c r="C694" s="243"/>
      <c r="D694" s="243"/>
      <c r="E694" s="38"/>
      <c r="F694" s="38"/>
      <c r="G694" s="38"/>
      <c r="H694" s="38"/>
      <c r="I694" s="38"/>
      <c r="J694" s="38"/>
      <c r="K694" s="38"/>
      <c r="L694" s="244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</row>
    <row r="695">
      <c r="A695" s="38"/>
      <c r="B695" s="38"/>
      <c r="C695" s="243"/>
      <c r="D695" s="243"/>
      <c r="E695" s="38"/>
      <c r="F695" s="38"/>
      <c r="G695" s="38"/>
      <c r="H695" s="38"/>
      <c r="I695" s="38"/>
      <c r="J695" s="38"/>
      <c r="K695" s="38"/>
      <c r="L695" s="244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</row>
    <row r="696">
      <c r="A696" s="38"/>
      <c r="B696" s="38"/>
      <c r="C696" s="243"/>
      <c r="D696" s="243"/>
      <c r="E696" s="38"/>
      <c r="F696" s="38"/>
      <c r="G696" s="38"/>
      <c r="H696" s="38"/>
      <c r="I696" s="38"/>
      <c r="J696" s="38"/>
      <c r="K696" s="38"/>
      <c r="L696" s="244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</row>
    <row r="697">
      <c r="A697" s="38"/>
      <c r="B697" s="38"/>
      <c r="C697" s="243"/>
      <c r="D697" s="243"/>
      <c r="E697" s="38"/>
      <c r="F697" s="38"/>
      <c r="G697" s="38"/>
      <c r="H697" s="38"/>
      <c r="I697" s="38"/>
      <c r="J697" s="38"/>
      <c r="K697" s="38"/>
      <c r="L697" s="244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</row>
    <row r="698">
      <c r="A698" s="38"/>
      <c r="B698" s="38"/>
      <c r="C698" s="243"/>
      <c r="D698" s="243"/>
      <c r="E698" s="38"/>
      <c r="F698" s="38"/>
      <c r="G698" s="38"/>
      <c r="H698" s="38"/>
      <c r="I698" s="38"/>
      <c r="J698" s="38"/>
      <c r="K698" s="38"/>
      <c r="L698" s="244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</row>
    <row r="699">
      <c r="A699" s="38"/>
      <c r="B699" s="38"/>
      <c r="C699" s="243"/>
      <c r="D699" s="243"/>
      <c r="E699" s="38"/>
      <c r="F699" s="38"/>
      <c r="G699" s="38"/>
      <c r="H699" s="38"/>
      <c r="I699" s="38"/>
      <c r="J699" s="38"/>
      <c r="K699" s="38"/>
      <c r="L699" s="244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</row>
    <row r="700">
      <c r="A700" s="38"/>
      <c r="B700" s="38"/>
      <c r="C700" s="243"/>
      <c r="D700" s="243"/>
      <c r="E700" s="38"/>
      <c r="F700" s="38"/>
      <c r="G700" s="38"/>
      <c r="H700" s="38"/>
      <c r="I700" s="38"/>
      <c r="J700" s="38"/>
      <c r="K700" s="38"/>
      <c r="L700" s="244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</row>
    <row r="701">
      <c r="A701" s="38"/>
      <c r="B701" s="38"/>
      <c r="C701" s="243"/>
      <c r="D701" s="243"/>
      <c r="E701" s="38"/>
      <c r="F701" s="38"/>
      <c r="G701" s="38"/>
      <c r="H701" s="38"/>
      <c r="I701" s="38"/>
      <c r="J701" s="38"/>
      <c r="K701" s="38"/>
      <c r="L701" s="244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</row>
    <row r="702">
      <c r="A702" s="38"/>
      <c r="B702" s="38"/>
      <c r="C702" s="243"/>
      <c r="D702" s="243"/>
      <c r="E702" s="38"/>
      <c r="F702" s="38"/>
      <c r="G702" s="38"/>
      <c r="H702" s="38"/>
      <c r="I702" s="38"/>
      <c r="J702" s="38"/>
      <c r="K702" s="38"/>
      <c r="L702" s="244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</row>
    <row r="703">
      <c r="A703" s="38"/>
      <c r="B703" s="38"/>
      <c r="C703" s="243"/>
      <c r="D703" s="243"/>
      <c r="E703" s="38"/>
      <c r="F703" s="38"/>
      <c r="G703" s="38"/>
      <c r="H703" s="38"/>
      <c r="I703" s="38"/>
      <c r="J703" s="38"/>
      <c r="K703" s="38"/>
      <c r="L703" s="244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</row>
    <row r="704">
      <c r="A704" s="38"/>
      <c r="B704" s="38"/>
      <c r="C704" s="243"/>
      <c r="D704" s="243"/>
      <c r="E704" s="38"/>
      <c r="F704" s="38"/>
      <c r="G704" s="38"/>
      <c r="H704" s="38"/>
      <c r="I704" s="38"/>
      <c r="J704" s="38"/>
      <c r="K704" s="38"/>
      <c r="L704" s="244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</row>
    <row r="705">
      <c r="A705" s="38"/>
      <c r="B705" s="38"/>
      <c r="C705" s="243"/>
      <c r="D705" s="243"/>
      <c r="E705" s="38"/>
      <c r="F705" s="38"/>
      <c r="G705" s="38"/>
      <c r="H705" s="38"/>
      <c r="I705" s="38"/>
      <c r="J705" s="38"/>
      <c r="K705" s="38"/>
      <c r="L705" s="244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</row>
    <row r="706">
      <c r="A706" s="38"/>
      <c r="B706" s="38"/>
      <c r="C706" s="243"/>
      <c r="D706" s="243"/>
      <c r="E706" s="38"/>
      <c r="F706" s="38"/>
      <c r="G706" s="38"/>
      <c r="H706" s="38"/>
      <c r="I706" s="38"/>
      <c r="J706" s="38"/>
      <c r="K706" s="38"/>
      <c r="L706" s="244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</row>
    <row r="707">
      <c r="A707" s="38"/>
      <c r="B707" s="38"/>
      <c r="C707" s="243"/>
      <c r="D707" s="243"/>
      <c r="E707" s="38"/>
      <c r="F707" s="38"/>
      <c r="G707" s="38"/>
      <c r="H707" s="38"/>
      <c r="I707" s="38"/>
      <c r="J707" s="38"/>
      <c r="K707" s="38"/>
      <c r="L707" s="244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</row>
    <row r="708">
      <c r="A708" s="38"/>
      <c r="B708" s="38"/>
      <c r="C708" s="243"/>
      <c r="D708" s="243"/>
      <c r="E708" s="38"/>
      <c r="F708" s="38"/>
      <c r="G708" s="38"/>
      <c r="H708" s="38"/>
      <c r="I708" s="38"/>
      <c r="J708" s="38"/>
      <c r="K708" s="38"/>
      <c r="L708" s="244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</row>
    <row r="709">
      <c r="A709" s="38"/>
      <c r="B709" s="38"/>
      <c r="C709" s="243"/>
      <c r="D709" s="243"/>
      <c r="E709" s="38"/>
      <c r="F709" s="38"/>
      <c r="G709" s="38"/>
      <c r="H709" s="38"/>
      <c r="I709" s="38"/>
      <c r="J709" s="38"/>
      <c r="K709" s="38"/>
      <c r="L709" s="244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</row>
    <row r="710">
      <c r="A710" s="38"/>
      <c r="B710" s="38"/>
      <c r="C710" s="243"/>
      <c r="D710" s="243"/>
      <c r="E710" s="38"/>
      <c r="F710" s="38"/>
      <c r="G710" s="38"/>
      <c r="H710" s="38"/>
      <c r="I710" s="38"/>
      <c r="J710" s="38"/>
      <c r="K710" s="38"/>
      <c r="L710" s="244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</row>
    <row r="711">
      <c r="A711" s="38"/>
      <c r="B711" s="38"/>
      <c r="C711" s="243"/>
      <c r="D711" s="243"/>
      <c r="E711" s="38"/>
      <c r="F711" s="38"/>
      <c r="G711" s="38"/>
      <c r="H711" s="38"/>
      <c r="I711" s="38"/>
      <c r="J711" s="38"/>
      <c r="K711" s="38"/>
      <c r="L711" s="244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</row>
    <row r="712">
      <c r="A712" s="38"/>
      <c r="B712" s="38"/>
      <c r="C712" s="243"/>
      <c r="D712" s="243"/>
      <c r="E712" s="38"/>
      <c r="F712" s="38"/>
      <c r="G712" s="38"/>
      <c r="H712" s="38"/>
      <c r="I712" s="38"/>
      <c r="J712" s="38"/>
      <c r="K712" s="38"/>
      <c r="L712" s="244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</row>
    <row r="713">
      <c r="A713" s="38"/>
      <c r="B713" s="38"/>
      <c r="C713" s="243"/>
      <c r="D713" s="243"/>
      <c r="E713" s="38"/>
      <c r="F713" s="38"/>
      <c r="G713" s="38"/>
      <c r="H713" s="38"/>
      <c r="I713" s="38"/>
      <c r="J713" s="38"/>
      <c r="K713" s="38"/>
      <c r="L713" s="244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</row>
    <row r="714">
      <c r="A714" s="38"/>
      <c r="B714" s="38"/>
      <c r="C714" s="243"/>
      <c r="D714" s="243"/>
      <c r="E714" s="38"/>
      <c r="F714" s="38"/>
      <c r="G714" s="38"/>
      <c r="H714" s="38"/>
      <c r="I714" s="38"/>
      <c r="J714" s="38"/>
      <c r="K714" s="38"/>
      <c r="L714" s="244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</row>
    <row r="715">
      <c r="A715" s="38"/>
      <c r="B715" s="38"/>
      <c r="C715" s="243"/>
      <c r="D715" s="243"/>
      <c r="E715" s="38"/>
      <c r="F715" s="38"/>
      <c r="G715" s="38"/>
      <c r="H715" s="38"/>
      <c r="I715" s="38"/>
      <c r="J715" s="38"/>
      <c r="K715" s="38"/>
      <c r="L715" s="244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</row>
    <row r="716">
      <c r="A716" s="38"/>
      <c r="B716" s="38"/>
      <c r="C716" s="243"/>
      <c r="D716" s="243"/>
      <c r="E716" s="38"/>
      <c r="F716" s="38"/>
      <c r="G716" s="38"/>
      <c r="H716" s="38"/>
      <c r="I716" s="38"/>
      <c r="J716" s="38"/>
      <c r="K716" s="38"/>
      <c r="L716" s="244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</row>
    <row r="717">
      <c r="A717" s="38"/>
      <c r="B717" s="38"/>
      <c r="C717" s="243"/>
      <c r="D717" s="243"/>
      <c r="E717" s="38"/>
      <c r="F717" s="38"/>
      <c r="G717" s="38"/>
      <c r="H717" s="38"/>
      <c r="I717" s="38"/>
      <c r="J717" s="38"/>
      <c r="K717" s="38"/>
      <c r="L717" s="244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</row>
    <row r="718">
      <c r="A718" s="38"/>
      <c r="B718" s="38"/>
      <c r="C718" s="243"/>
      <c r="D718" s="243"/>
      <c r="E718" s="38"/>
      <c r="F718" s="38"/>
      <c r="G718" s="38"/>
      <c r="H718" s="38"/>
      <c r="I718" s="38"/>
      <c r="J718" s="38"/>
      <c r="K718" s="38"/>
      <c r="L718" s="244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</row>
    <row r="719">
      <c r="A719" s="38"/>
      <c r="B719" s="38"/>
      <c r="C719" s="243"/>
      <c r="D719" s="243"/>
      <c r="E719" s="38"/>
      <c r="F719" s="38"/>
      <c r="G719" s="38"/>
      <c r="H719" s="38"/>
      <c r="I719" s="38"/>
      <c r="J719" s="38"/>
      <c r="K719" s="38"/>
      <c r="L719" s="244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</row>
    <row r="720">
      <c r="A720" s="38"/>
      <c r="B720" s="38"/>
      <c r="C720" s="243"/>
      <c r="D720" s="243"/>
      <c r="E720" s="38"/>
      <c r="F720" s="38"/>
      <c r="G720" s="38"/>
      <c r="H720" s="38"/>
      <c r="I720" s="38"/>
      <c r="J720" s="38"/>
      <c r="K720" s="38"/>
      <c r="L720" s="244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</row>
    <row r="721">
      <c r="A721" s="38"/>
      <c r="B721" s="38"/>
      <c r="C721" s="243"/>
      <c r="D721" s="243"/>
      <c r="E721" s="38"/>
      <c r="F721" s="38"/>
      <c r="G721" s="38"/>
      <c r="H721" s="38"/>
      <c r="I721" s="38"/>
      <c r="J721" s="38"/>
      <c r="K721" s="38"/>
      <c r="L721" s="244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</row>
    <row r="722">
      <c r="A722" s="38"/>
      <c r="B722" s="38"/>
      <c r="C722" s="243"/>
      <c r="D722" s="243"/>
      <c r="E722" s="38"/>
      <c r="F722" s="38"/>
      <c r="G722" s="38"/>
      <c r="H722" s="38"/>
      <c r="I722" s="38"/>
      <c r="J722" s="38"/>
      <c r="K722" s="38"/>
      <c r="L722" s="244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</row>
    <row r="723">
      <c r="A723" s="38"/>
      <c r="B723" s="38"/>
      <c r="C723" s="243"/>
      <c r="D723" s="243"/>
      <c r="E723" s="38"/>
      <c r="F723" s="38"/>
      <c r="G723" s="38"/>
      <c r="H723" s="38"/>
      <c r="I723" s="38"/>
      <c r="J723" s="38"/>
      <c r="K723" s="38"/>
      <c r="L723" s="244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</row>
    <row r="724">
      <c r="A724" s="38"/>
      <c r="B724" s="38"/>
      <c r="C724" s="243"/>
      <c r="D724" s="243"/>
      <c r="E724" s="38"/>
      <c r="F724" s="38"/>
      <c r="G724" s="38"/>
      <c r="H724" s="38"/>
      <c r="I724" s="38"/>
      <c r="J724" s="38"/>
      <c r="K724" s="38"/>
      <c r="L724" s="244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</row>
    <row r="725">
      <c r="A725" s="38"/>
      <c r="B725" s="38"/>
      <c r="C725" s="243"/>
      <c r="D725" s="243"/>
      <c r="E725" s="38"/>
      <c r="F725" s="38"/>
      <c r="G725" s="38"/>
      <c r="H725" s="38"/>
      <c r="I725" s="38"/>
      <c r="J725" s="38"/>
      <c r="K725" s="38"/>
      <c r="L725" s="244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</row>
    <row r="726">
      <c r="A726" s="38"/>
      <c r="B726" s="38"/>
      <c r="C726" s="243"/>
      <c r="D726" s="243"/>
      <c r="E726" s="38"/>
      <c r="F726" s="38"/>
      <c r="G726" s="38"/>
      <c r="H726" s="38"/>
      <c r="I726" s="38"/>
      <c r="J726" s="38"/>
      <c r="K726" s="38"/>
      <c r="L726" s="244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</row>
    <row r="727">
      <c r="A727" s="38"/>
      <c r="B727" s="38"/>
      <c r="C727" s="243"/>
      <c r="D727" s="243"/>
      <c r="E727" s="38"/>
      <c r="F727" s="38"/>
      <c r="G727" s="38"/>
      <c r="H727" s="38"/>
      <c r="I727" s="38"/>
      <c r="J727" s="38"/>
      <c r="K727" s="38"/>
      <c r="L727" s="244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</row>
    <row r="728">
      <c r="A728" s="38"/>
      <c r="B728" s="38"/>
      <c r="C728" s="243"/>
      <c r="D728" s="243"/>
      <c r="E728" s="38"/>
      <c r="F728" s="38"/>
      <c r="G728" s="38"/>
      <c r="H728" s="38"/>
      <c r="I728" s="38"/>
      <c r="J728" s="38"/>
      <c r="K728" s="38"/>
      <c r="L728" s="244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</row>
    <row r="729">
      <c r="A729" s="38"/>
      <c r="B729" s="38"/>
      <c r="C729" s="243"/>
      <c r="D729" s="243"/>
      <c r="E729" s="38"/>
      <c r="F729" s="38"/>
      <c r="G729" s="38"/>
      <c r="H729" s="38"/>
      <c r="I729" s="38"/>
      <c r="J729" s="38"/>
      <c r="K729" s="38"/>
      <c r="L729" s="244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</row>
    <row r="730">
      <c r="A730" s="38"/>
      <c r="B730" s="38"/>
      <c r="C730" s="243"/>
      <c r="D730" s="243"/>
      <c r="E730" s="38"/>
      <c r="F730" s="38"/>
      <c r="G730" s="38"/>
      <c r="H730" s="38"/>
      <c r="I730" s="38"/>
      <c r="J730" s="38"/>
      <c r="K730" s="38"/>
      <c r="L730" s="244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</row>
    <row r="731">
      <c r="A731" s="38"/>
      <c r="B731" s="38"/>
      <c r="C731" s="243"/>
      <c r="D731" s="243"/>
      <c r="E731" s="38"/>
      <c r="F731" s="38"/>
      <c r="G731" s="38"/>
      <c r="H731" s="38"/>
      <c r="I731" s="38"/>
      <c r="J731" s="38"/>
      <c r="K731" s="38"/>
      <c r="L731" s="244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</row>
    <row r="732">
      <c r="A732" s="38"/>
      <c r="B732" s="38"/>
      <c r="C732" s="243"/>
      <c r="D732" s="243"/>
      <c r="E732" s="38"/>
      <c r="F732" s="38"/>
      <c r="G732" s="38"/>
      <c r="H732" s="38"/>
      <c r="I732" s="38"/>
      <c r="J732" s="38"/>
      <c r="K732" s="38"/>
      <c r="L732" s="244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</row>
    <row r="733">
      <c r="A733" s="38"/>
      <c r="B733" s="38"/>
      <c r="C733" s="243"/>
      <c r="D733" s="243"/>
      <c r="E733" s="38"/>
      <c r="F733" s="38"/>
      <c r="G733" s="38"/>
      <c r="H733" s="38"/>
      <c r="I733" s="38"/>
      <c r="J733" s="38"/>
      <c r="K733" s="38"/>
      <c r="L733" s="244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</row>
    <row r="734">
      <c r="A734" s="38"/>
      <c r="B734" s="38"/>
      <c r="C734" s="243"/>
      <c r="D734" s="243"/>
      <c r="E734" s="38"/>
      <c r="F734" s="38"/>
      <c r="G734" s="38"/>
      <c r="H734" s="38"/>
      <c r="I734" s="38"/>
      <c r="J734" s="38"/>
      <c r="K734" s="38"/>
      <c r="L734" s="244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</row>
    <row r="735">
      <c r="A735" s="38"/>
      <c r="B735" s="38"/>
      <c r="C735" s="243"/>
      <c r="D735" s="243"/>
      <c r="E735" s="38"/>
      <c r="F735" s="38"/>
      <c r="G735" s="38"/>
      <c r="H735" s="38"/>
      <c r="I735" s="38"/>
      <c r="J735" s="38"/>
      <c r="K735" s="38"/>
      <c r="L735" s="244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</row>
    <row r="736">
      <c r="A736" s="38"/>
      <c r="B736" s="38"/>
      <c r="C736" s="243"/>
      <c r="D736" s="243"/>
      <c r="E736" s="38"/>
      <c r="F736" s="38"/>
      <c r="G736" s="38"/>
      <c r="H736" s="38"/>
      <c r="I736" s="38"/>
      <c r="J736" s="38"/>
      <c r="K736" s="38"/>
      <c r="L736" s="244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</row>
    <row r="737">
      <c r="A737" s="38"/>
      <c r="B737" s="38"/>
      <c r="C737" s="243"/>
      <c r="D737" s="243"/>
      <c r="E737" s="38"/>
      <c r="F737" s="38"/>
      <c r="G737" s="38"/>
      <c r="H737" s="38"/>
      <c r="I737" s="38"/>
      <c r="J737" s="38"/>
      <c r="K737" s="38"/>
      <c r="L737" s="244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</row>
    <row r="738">
      <c r="A738" s="38"/>
      <c r="B738" s="38"/>
      <c r="C738" s="243"/>
      <c r="D738" s="243"/>
      <c r="E738" s="38"/>
      <c r="F738" s="38"/>
      <c r="G738" s="38"/>
      <c r="H738" s="38"/>
      <c r="I738" s="38"/>
      <c r="J738" s="38"/>
      <c r="K738" s="38"/>
      <c r="L738" s="244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</row>
    <row r="739">
      <c r="A739" s="38"/>
      <c r="B739" s="38"/>
      <c r="C739" s="243"/>
      <c r="D739" s="243"/>
      <c r="E739" s="38"/>
      <c r="F739" s="38"/>
      <c r="G739" s="38"/>
      <c r="H739" s="38"/>
      <c r="I739" s="38"/>
      <c r="J739" s="38"/>
      <c r="K739" s="38"/>
      <c r="L739" s="244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</row>
    <row r="740">
      <c r="A740" s="38"/>
      <c r="B740" s="38"/>
      <c r="C740" s="243"/>
      <c r="D740" s="243"/>
      <c r="E740" s="38"/>
      <c r="F740" s="38"/>
      <c r="G740" s="38"/>
      <c r="H740" s="38"/>
      <c r="I740" s="38"/>
      <c r="J740" s="38"/>
      <c r="K740" s="38"/>
      <c r="L740" s="244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</row>
    <row r="741">
      <c r="A741" s="38"/>
      <c r="B741" s="38"/>
      <c r="C741" s="243"/>
      <c r="D741" s="243"/>
      <c r="E741" s="38"/>
      <c r="F741" s="38"/>
      <c r="G741" s="38"/>
      <c r="H741" s="38"/>
      <c r="I741" s="38"/>
      <c r="J741" s="38"/>
      <c r="K741" s="38"/>
      <c r="L741" s="244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</row>
    <row r="742">
      <c r="A742" s="38"/>
      <c r="B742" s="38"/>
      <c r="C742" s="243"/>
      <c r="D742" s="243"/>
      <c r="E742" s="38"/>
      <c r="F742" s="38"/>
      <c r="G742" s="38"/>
      <c r="H742" s="38"/>
      <c r="I742" s="38"/>
      <c r="J742" s="38"/>
      <c r="K742" s="38"/>
      <c r="L742" s="244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</row>
    <row r="743">
      <c r="A743" s="38"/>
      <c r="B743" s="38"/>
      <c r="C743" s="243"/>
      <c r="D743" s="243"/>
      <c r="E743" s="38"/>
      <c r="F743" s="38"/>
      <c r="G743" s="38"/>
      <c r="H743" s="38"/>
      <c r="I743" s="38"/>
      <c r="J743" s="38"/>
      <c r="K743" s="38"/>
      <c r="L743" s="244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</row>
    <row r="744">
      <c r="A744" s="38"/>
      <c r="B744" s="38"/>
      <c r="C744" s="243"/>
      <c r="D744" s="243"/>
      <c r="E744" s="38"/>
      <c r="F744" s="38"/>
      <c r="G744" s="38"/>
      <c r="H744" s="38"/>
      <c r="I744" s="38"/>
      <c r="J744" s="38"/>
      <c r="K744" s="38"/>
      <c r="L744" s="244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</row>
    <row r="745">
      <c r="A745" s="38"/>
      <c r="B745" s="38"/>
      <c r="C745" s="243"/>
      <c r="D745" s="243"/>
      <c r="E745" s="38"/>
      <c r="F745" s="38"/>
      <c r="G745" s="38"/>
      <c r="H745" s="38"/>
      <c r="I745" s="38"/>
      <c r="J745" s="38"/>
      <c r="K745" s="38"/>
      <c r="L745" s="244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</row>
    <row r="746">
      <c r="A746" s="38"/>
      <c r="B746" s="38"/>
      <c r="C746" s="243"/>
      <c r="D746" s="243"/>
      <c r="E746" s="38"/>
      <c r="F746" s="38"/>
      <c r="G746" s="38"/>
      <c r="H746" s="38"/>
      <c r="I746" s="38"/>
      <c r="J746" s="38"/>
      <c r="K746" s="38"/>
      <c r="L746" s="244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</row>
    <row r="747">
      <c r="A747" s="38"/>
      <c r="B747" s="38"/>
      <c r="C747" s="243"/>
      <c r="D747" s="243"/>
      <c r="E747" s="38"/>
      <c r="F747" s="38"/>
      <c r="G747" s="38"/>
      <c r="H747" s="38"/>
      <c r="I747" s="38"/>
      <c r="J747" s="38"/>
      <c r="K747" s="38"/>
      <c r="L747" s="244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</row>
    <row r="748">
      <c r="A748" s="38"/>
      <c r="B748" s="38"/>
      <c r="C748" s="243"/>
      <c r="D748" s="243"/>
      <c r="E748" s="38"/>
      <c r="F748" s="38"/>
      <c r="G748" s="38"/>
      <c r="H748" s="38"/>
      <c r="I748" s="38"/>
      <c r="J748" s="38"/>
      <c r="K748" s="38"/>
      <c r="L748" s="244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</row>
    <row r="749">
      <c r="A749" s="38"/>
      <c r="B749" s="38"/>
      <c r="C749" s="243"/>
      <c r="D749" s="243"/>
      <c r="E749" s="38"/>
      <c r="F749" s="38"/>
      <c r="G749" s="38"/>
      <c r="H749" s="38"/>
      <c r="I749" s="38"/>
      <c r="J749" s="38"/>
      <c r="K749" s="38"/>
      <c r="L749" s="244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</row>
    <row r="750">
      <c r="A750" s="38"/>
      <c r="B750" s="38"/>
      <c r="C750" s="243"/>
      <c r="D750" s="243"/>
      <c r="E750" s="38"/>
      <c r="F750" s="38"/>
      <c r="G750" s="38"/>
      <c r="H750" s="38"/>
      <c r="I750" s="38"/>
      <c r="J750" s="38"/>
      <c r="K750" s="38"/>
      <c r="L750" s="244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</row>
    <row r="751">
      <c r="A751" s="38"/>
      <c r="B751" s="38"/>
      <c r="C751" s="243"/>
      <c r="D751" s="243"/>
      <c r="E751" s="38"/>
      <c r="F751" s="38"/>
      <c r="G751" s="38"/>
      <c r="H751" s="38"/>
      <c r="I751" s="38"/>
      <c r="J751" s="38"/>
      <c r="K751" s="38"/>
      <c r="L751" s="244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</row>
    <row r="752">
      <c r="A752" s="38"/>
      <c r="B752" s="38"/>
      <c r="C752" s="243"/>
      <c r="D752" s="243"/>
      <c r="E752" s="38"/>
      <c r="F752" s="38"/>
      <c r="G752" s="38"/>
      <c r="H752" s="38"/>
      <c r="I752" s="38"/>
      <c r="J752" s="38"/>
      <c r="K752" s="38"/>
      <c r="L752" s="244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</row>
    <row r="753">
      <c r="A753" s="38"/>
      <c r="B753" s="38"/>
      <c r="C753" s="243"/>
      <c r="D753" s="243"/>
      <c r="E753" s="38"/>
      <c r="F753" s="38"/>
      <c r="G753" s="38"/>
      <c r="H753" s="38"/>
      <c r="I753" s="38"/>
      <c r="J753" s="38"/>
      <c r="K753" s="38"/>
      <c r="L753" s="244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</row>
    <row r="754">
      <c r="A754" s="38"/>
      <c r="B754" s="38"/>
      <c r="C754" s="243"/>
      <c r="D754" s="243"/>
      <c r="E754" s="38"/>
      <c r="F754" s="38"/>
      <c r="G754" s="38"/>
      <c r="H754" s="38"/>
      <c r="I754" s="38"/>
      <c r="J754" s="38"/>
      <c r="K754" s="38"/>
      <c r="L754" s="244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</row>
    <row r="755">
      <c r="A755" s="38"/>
      <c r="B755" s="38"/>
      <c r="C755" s="243"/>
      <c r="D755" s="243"/>
      <c r="E755" s="38"/>
      <c r="F755" s="38"/>
      <c r="G755" s="38"/>
      <c r="H755" s="38"/>
      <c r="I755" s="38"/>
      <c r="J755" s="38"/>
      <c r="K755" s="38"/>
      <c r="L755" s="244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</row>
    <row r="756">
      <c r="A756" s="38"/>
      <c r="B756" s="38"/>
      <c r="C756" s="243"/>
      <c r="D756" s="243"/>
      <c r="E756" s="38"/>
      <c r="F756" s="38"/>
      <c r="G756" s="38"/>
      <c r="H756" s="38"/>
      <c r="I756" s="38"/>
      <c r="J756" s="38"/>
      <c r="K756" s="38"/>
      <c r="L756" s="244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</row>
    <row r="757">
      <c r="A757" s="38"/>
      <c r="B757" s="38"/>
      <c r="C757" s="243"/>
      <c r="D757" s="243"/>
      <c r="E757" s="38"/>
      <c r="F757" s="38"/>
      <c r="G757" s="38"/>
      <c r="H757" s="38"/>
      <c r="I757" s="38"/>
      <c r="J757" s="38"/>
      <c r="K757" s="38"/>
      <c r="L757" s="244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</row>
    <row r="758">
      <c r="A758" s="38"/>
      <c r="B758" s="38"/>
      <c r="C758" s="243"/>
      <c r="D758" s="243"/>
      <c r="E758" s="38"/>
      <c r="F758" s="38"/>
      <c r="G758" s="38"/>
      <c r="H758" s="38"/>
      <c r="I758" s="38"/>
      <c r="J758" s="38"/>
      <c r="K758" s="38"/>
      <c r="L758" s="244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</row>
    <row r="759">
      <c r="A759" s="38"/>
      <c r="B759" s="38"/>
      <c r="C759" s="243"/>
      <c r="D759" s="243"/>
      <c r="E759" s="38"/>
      <c r="F759" s="38"/>
      <c r="G759" s="38"/>
      <c r="H759" s="38"/>
      <c r="I759" s="38"/>
      <c r="J759" s="38"/>
      <c r="K759" s="38"/>
      <c r="L759" s="244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</row>
    <row r="760">
      <c r="A760" s="38"/>
      <c r="B760" s="38"/>
      <c r="C760" s="243"/>
      <c r="D760" s="243"/>
      <c r="E760" s="38"/>
      <c r="F760" s="38"/>
      <c r="G760" s="38"/>
      <c r="H760" s="38"/>
      <c r="I760" s="38"/>
      <c r="J760" s="38"/>
      <c r="K760" s="38"/>
      <c r="L760" s="244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</row>
    <row r="761">
      <c r="A761" s="38"/>
      <c r="B761" s="38"/>
      <c r="C761" s="243"/>
      <c r="D761" s="243"/>
      <c r="E761" s="38"/>
      <c r="F761" s="38"/>
      <c r="G761" s="38"/>
      <c r="H761" s="38"/>
      <c r="I761" s="38"/>
      <c r="J761" s="38"/>
      <c r="K761" s="38"/>
      <c r="L761" s="244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</row>
    <row r="762">
      <c r="A762" s="38"/>
      <c r="B762" s="38"/>
      <c r="C762" s="243"/>
      <c r="D762" s="243"/>
      <c r="E762" s="38"/>
      <c r="F762" s="38"/>
      <c r="G762" s="38"/>
      <c r="H762" s="38"/>
      <c r="I762" s="38"/>
      <c r="J762" s="38"/>
      <c r="K762" s="38"/>
      <c r="L762" s="244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</row>
    <row r="763">
      <c r="A763" s="38"/>
      <c r="B763" s="38"/>
      <c r="C763" s="243"/>
      <c r="D763" s="243"/>
      <c r="E763" s="38"/>
      <c r="F763" s="38"/>
      <c r="G763" s="38"/>
      <c r="H763" s="38"/>
      <c r="I763" s="38"/>
      <c r="J763" s="38"/>
      <c r="K763" s="38"/>
      <c r="L763" s="244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</row>
    <row r="764">
      <c r="A764" s="38"/>
      <c r="B764" s="38"/>
      <c r="C764" s="243"/>
      <c r="D764" s="243"/>
      <c r="E764" s="38"/>
      <c r="F764" s="38"/>
      <c r="G764" s="38"/>
      <c r="H764" s="38"/>
      <c r="I764" s="38"/>
      <c r="J764" s="38"/>
      <c r="K764" s="38"/>
      <c r="L764" s="244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</row>
    <row r="765">
      <c r="A765" s="38"/>
      <c r="B765" s="38"/>
      <c r="C765" s="243"/>
      <c r="D765" s="243"/>
      <c r="E765" s="38"/>
      <c r="F765" s="38"/>
      <c r="G765" s="38"/>
      <c r="H765" s="38"/>
      <c r="I765" s="38"/>
      <c r="J765" s="38"/>
      <c r="K765" s="38"/>
      <c r="L765" s="244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</row>
    <row r="766">
      <c r="A766" s="38"/>
      <c r="B766" s="38"/>
      <c r="C766" s="243"/>
      <c r="D766" s="243"/>
      <c r="E766" s="38"/>
      <c r="F766" s="38"/>
      <c r="G766" s="38"/>
      <c r="H766" s="38"/>
      <c r="I766" s="38"/>
      <c r="J766" s="38"/>
      <c r="K766" s="38"/>
      <c r="L766" s="244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</row>
    <row r="767">
      <c r="A767" s="38"/>
      <c r="B767" s="38"/>
      <c r="C767" s="243"/>
      <c r="D767" s="243"/>
      <c r="E767" s="38"/>
      <c r="F767" s="38"/>
      <c r="G767" s="38"/>
      <c r="H767" s="38"/>
      <c r="I767" s="38"/>
      <c r="J767" s="38"/>
      <c r="K767" s="38"/>
      <c r="L767" s="244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</row>
    <row r="768">
      <c r="A768" s="38"/>
      <c r="B768" s="38"/>
      <c r="C768" s="243"/>
      <c r="D768" s="243"/>
      <c r="E768" s="38"/>
      <c r="F768" s="38"/>
      <c r="G768" s="38"/>
      <c r="H768" s="38"/>
      <c r="I768" s="38"/>
      <c r="J768" s="38"/>
      <c r="K768" s="38"/>
      <c r="L768" s="244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</row>
    <row r="769">
      <c r="A769" s="38"/>
      <c r="B769" s="38"/>
      <c r="C769" s="243"/>
      <c r="D769" s="243"/>
      <c r="E769" s="38"/>
      <c r="F769" s="38"/>
      <c r="G769" s="38"/>
      <c r="H769" s="38"/>
      <c r="I769" s="38"/>
      <c r="J769" s="38"/>
      <c r="K769" s="38"/>
      <c r="L769" s="244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</row>
    <row r="770">
      <c r="A770" s="38"/>
      <c r="B770" s="38"/>
      <c r="C770" s="243"/>
      <c r="D770" s="243"/>
      <c r="E770" s="38"/>
      <c r="F770" s="38"/>
      <c r="G770" s="38"/>
      <c r="H770" s="38"/>
      <c r="I770" s="38"/>
      <c r="J770" s="38"/>
      <c r="K770" s="38"/>
      <c r="L770" s="244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</row>
    <row r="771">
      <c r="A771" s="38"/>
      <c r="B771" s="38"/>
      <c r="C771" s="243"/>
      <c r="D771" s="243"/>
      <c r="E771" s="38"/>
      <c r="F771" s="38"/>
      <c r="G771" s="38"/>
      <c r="H771" s="38"/>
      <c r="I771" s="38"/>
      <c r="J771" s="38"/>
      <c r="K771" s="38"/>
      <c r="L771" s="244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</row>
    <row r="772">
      <c r="A772" s="38"/>
      <c r="B772" s="38"/>
      <c r="C772" s="243"/>
      <c r="D772" s="243"/>
      <c r="E772" s="38"/>
      <c r="F772" s="38"/>
      <c r="G772" s="38"/>
      <c r="H772" s="38"/>
      <c r="I772" s="38"/>
      <c r="J772" s="38"/>
      <c r="K772" s="38"/>
      <c r="L772" s="244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</row>
    <row r="773">
      <c r="A773" s="38"/>
      <c r="B773" s="38"/>
      <c r="C773" s="243"/>
      <c r="D773" s="243"/>
      <c r="E773" s="38"/>
      <c r="F773" s="38"/>
      <c r="G773" s="38"/>
      <c r="H773" s="38"/>
      <c r="I773" s="38"/>
      <c r="J773" s="38"/>
      <c r="K773" s="38"/>
      <c r="L773" s="244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</row>
    <row r="774">
      <c r="A774" s="38"/>
      <c r="B774" s="38"/>
      <c r="C774" s="243"/>
      <c r="D774" s="243"/>
      <c r="E774" s="38"/>
      <c r="F774" s="38"/>
      <c r="G774" s="38"/>
      <c r="H774" s="38"/>
      <c r="I774" s="38"/>
      <c r="J774" s="38"/>
      <c r="K774" s="38"/>
      <c r="L774" s="244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</row>
    <row r="775">
      <c r="A775" s="38"/>
      <c r="B775" s="38"/>
      <c r="C775" s="243"/>
      <c r="D775" s="243"/>
      <c r="E775" s="38"/>
      <c r="F775" s="38"/>
      <c r="G775" s="38"/>
      <c r="H775" s="38"/>
      <c r="I775" s="38"/>
      <c r="J775" s="38"/>
      <c r="K775" s="38"/>
      <c r="L775" s="244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</row>
    <row r="776">
      <c r="A776" s="38"/>
      <c r="B776" s="38"/>
      <c r="C776" s="243"/>
      <c r="D776" s="243"/>
      <c r="E776" s="38"/>
      <c r="F776" s="38"/>
      <c r="G776" s="38"/>
      <c r="H776" s="38"/>
      <c r="I776" s="38"/>
      <c r="J776" s="38"/>
      <c r="K776" s="38"/>
      <c r="L776" s="244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</row>
    <row r="777">
      <c r="A777" s="38"/>
      <c r="B777" s="38"/>
      <c r="C777" s="243"/>
      <c r="D777" s="243"/>
      <c r="E777" s="38"/>
      <c r="F777" s="38"/>
      <c r="G777" s="38"/>
      <c r="H777" s="38"/>
      <c r="I777" s="38"/>
      <c r="J777" s="38"/>
      <c r="K777" s="38"/>
      <c r="L777" s="244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</row>
    <row r="778">
      <c r="A778" s="38"/>
      <c r="B778" s="38"/>
      <c r="C778" s="243"/>
      <c r="D778" s="243"/>
      <c r="E778" s="38"/>
      <c r="F778" s="38"/>
      <c r="G778" s="38"/>
      <c r="H778" s="38"/>
      <c r="I778" s="38"/>
      <c r="J778" s="38"/>
      <c r="K778" s="38"/>
      <c r="L778" s="244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</row>
    <row r="779">
      <c r="A779" s="38"/>
      <c r="B779" s="38"/>
      <c r="C779" s="243"/>
      <c r="D779" s="243"/>
      <c r="E779" s="38"/>
      <c r="F779" s="38"/>
      <c r="G779" s="38"/>
      <c r="H779" s="38"/>
      <c r="I779" s="38"/>
      <c r="J779" s="38"/>
      <c r="K779" s="38"/>
      <c r="L779" s="244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</row>
    <row r="780">
      <c r="A780" s="38"/>
      <c r="B780" s="38"/>
      <c r="C780" s="243"/>
      <c r="D780" s="243"/>
      <c r="E780" s="38"/>
      <c r="F780" s="38"/>
      <c r="G780" s="38"/>
      <c r="H780" s="38"/>
      <c r="I780" s="38"/>
      <c r="J780" s="38"/>
      <c r="K780" s="38"/>
      <c r="L780" s="244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</row>
    <row r="781">
      <c r="A781" s="38"/>
      <c r="B781" s="38"/>
      <c r="C781" s="243"/>
      <c r="D781" s="243"/>
      <c r="E781" s="38"/>
      <c r="F781" s="38"/>
      <c r="G781" s="38"/>
      <c r="H781" s="38"/>
      <c r="I781" s="38"/>
      <c r="J781" s="38"/>
      <c r="K781" s="38"/>
      <c r="L781" s="244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</row>
    <row r="782">
      <c r="A782" s="38"/>
      <c r="B782" s="38"/>
      <c r="C782" s="243"/>
      <c r="D782" s="243"/>
      <c r="E782" s="38"/>
      <c r="F782" s="38"/>
      <c r="G782" s="38"/>
      <c r="H782" s="38"/>
      <c r="I782" s="38"/>
      <c r="J782" s="38"/>
      <c r="K782" s="38"/>
      <c r="L782" s="244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</row>
    <row r="783">
      <c r="A783" s="38"/>
      <c r="B783" s="38"/>
      <c r="C783" s="243"/>
      <c r="D783" s="243"/>
      <c r="E783" s="38"/>
      <c r="F783" s="38"/>
      <c r="G783" s="38"/>
      <c r="H783" s="38"/>
      <c r="I783" s="38"/>
      <c r="J783" s="38"/>
      <c r="K783" s="38"/>
      <c r="L783" s="244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</row>
    <row r="784">
      <c r="A784" s="38"/>
      <c r="B784" s="38"/>
      <c r="C784" s="243"/>
      <c r="D784" s="243"/>
      <c r="E784" s="38"/>
      <c r="F784" s="38"/>
      <c r="G784" s="38"/>
      <c r="H784" s="38"/>
      <c r="I784" s="38"/>
      <c r="J784" s="38"/>
      <c r="K784" s="38"/>
      <c r="L784" s="244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</row>
    <row r="785">
      <c r="A785" s="38"/>
      <c r="B785" s="38"/>
      <c r="C785" s="243"/>
      <c r="D785" s="243"/>
      <c r="E785" s="38"/>
      <c r="F785" s="38"/>
      <c r="G785" s="38"/>
      <c r="H785" s="38"/>
      <c r="I785" s="38"/>
      <c r="J785" s="38"/>
      <c r="K785" s="38"/>
      <c r="L785" s="244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</row>
    <row r="786">
      <c r="A786" s="38"/>
      <c r="B786" s="38"/>
      <c r="C786" s="243"/>
      <c r="D786" s="243"/>
      <c r="E786" s="38"/>
      <c r="F786" s="38"/>
      <c r="G786" s="38"/>
      <c r="H786" s="38"/>
      <c r="I786" s="38"/>
      <c r="J786" s="38"/>
      <c r="K786" s="38"/>
      <c r="L786" s="244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</row>
    <row r="787">
      <c r="A787" s="38"/>
      <c r="B787" s="38"/>
      <c r="C787" s="243"/>
      <c r="D787" s="243"/>
      <c r="E787" s="38"/>
      <c r="F787" s="38"/>
      <c r="G787" s="38"/>
      <c r="H787" s="38"/>
      <c r="I787" s="38"/>
      <c r="J787" s="38"/>
      <c r="K787" s="38"/>
      <c r="L787" s="244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</row>
    <row r="788">
      <c r="A788" s="38"/>
      <c r="B788" s="38"/>
      <c r="C788" s="243"/>
      <c r="D788" s="243"/>
      <c r="E788" s="38"/>
      <c r="F788" s="38"/>
      <c r="G788" s="38"/>
      <c r="H788" s="38"/>
      <c r="I788" s="38"/>
      <c r="J788" s="38"/>
      <c r="K788" s="38"/>
      <c r="L788" s="244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</row>
    <row r="789">
      <c r="A789" s="38"/>
      <c r="B789" s="38"/>
      <c r="C789" s="243"/>
      <c r="D789" s="243"/>
      <c r="E789" s="38"/>
      <c r="F789" s="38"/>
      <c r="G789" s="38"/>
      <c r="H789" s="38"/>
      <c r="I789" s="38"/>
      <c r="J789" s="38"/>
      <c r="K789" s="38"/>
      <c r="L789" s="244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</row>
    <row r="790">
      <c r="A790" s="38"/>
      <c r="B790" s="38"/>
      <c r="C790" s="243"/>
      <c r="D790" s="243"/>
      <c r="E790" s="38"/>
      <c r="F790" s="38"/>
      <c r="G790" s="38"/>
      <c r="H790" s="38"/>
      <c r="I790" s="38"/>
      <c r="J790" s="38"/>
      <c r="K790" s="38"/>
      <c r="L790" s="244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</row>
    <row r="791">
      <c r="A791" s="38"/>
      <c r="B791" s="38"/>
      <c r="C791" s="243"/>
      <c r="D791" s="243"/>
      <c r="E791" s="38"/>
      <c r="F791" s="38"/>
      <c r="G791" s="38"/>
      <c r="H791" s="38"/>
      <c r="I791" s="38"/>
      <c r="J791" s="38"/>
      <c r="K791" s="38"/>
      <c r="L791" s="244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</row>
    <row r="792">
      <c r="A792" s="38"/>
      <c r="B792" s="38"/>
      <c r="C792" s="243"/>
      <c r="D792" s="243"/>
      <c r="E792" s="38"/>
      <c r="F792" s="38"/>
      <c r="G792" s="38"/>
      <c r="H792" s="38"/>
      <c r="I792" s="38"/>
      <c r="J792" s="38"/>
      <c r="K792" s="38"/>
      <c r="L792" s="244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</row>
    <row r="793">
      <c r="A793" s="38"/>
      <c r="B793" s="38"/>
      <c r="C793" s="243"/>
      <c r="D793" s="243"/>
      <c r="E793" s="38"/>
      <c r="F793" s="38"/>
      <c r="G793" s="38"/>
      <c r="H793" s="38"/>
      <c r="I793" s="38"/>
      <c r="J793" s="38"/>
      <c r="K793" s="38"/>
      <c r="L793" s="244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</row>
    <row r="794">
      <c r="A794" s="38"/>
      <c r="B794" s="38"/>
      <c r="C794" s="243"/>
      <c r="D794" s="243"/>
      <c r="E794" s="38"/>
      <c r="F794" s="38"/>
      <c r="G794" s="38"/>
      <c r="H794" s="38"/>
      <c r="I794" s="38"/>
      <c r="J794" s="38"/>
      <c r="K794" s="38"/>
      <c r="L794" s="244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</row>
    <row r="795">
      <c r="A795" s="38"/>
      <c r="B795" s="38"/>
      <c r="C795" s="243"/>
      <c r="D795" s="243"/>
      <c r="E795" s="38"/>
      <c r="F795" s="38"/>
      <c r="G795" s="38"/>
      <c r="H795" s="38"/>
      <c r="I795" s="38"/>
      <c r="J795" s="38"/>
      <c r="K795" s="38"/>
      <c r="L795" s="244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</row>
    <row r="796">
      <c r="A796" s="38"/>
      <c r="B796" s="38"/>
      <c r="C796" s="243"/>
      <c r="D796" s="243"/>
      <c r="E796" s="38"/>
      <c r="F796" s="38"/>
      <c r="G796" s="38"/>
      <c r="H796" s="38"/>
      <c r="I796" s="38"/>
      <c r="J796" s="38"/>
      <c r="K796" s="38"/>
      <c r="L796" s="244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</row>
    <row r="797">
      <c r="A797" s="38"/>
      <c r="B797" s="38"/>
      <c r="C797" s="243"/>
      <c r="D797" s="243"/>
      <c r="E797" s="38"/>
      <c r="F797" s="38"/>
      <c r="G797" s="38"/>
      <c r="H797" s="38"/>
      <c r="I797" s="38"/>
      <c r="J797" s="38"/>
      <c r="K797" s="38"/>
      <c r="L797" s="244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</row>
    <row r="798">
      <c r="A798" s="38"/>
      <c r="B798" s="38"/>
      <c r="C798" s="243"/>
      <c r="D798" s="243"/>
      <c r="E798" s="38"/>
      <c r="F798" s="38"/>
      <c r="G798" s="38"/>
      <c r="H798" s="38"/>
      <c r="I798" s="38"/>
      <c r="J798" s="38"/>
      <c r="K798" s="38"/>
      <c r="L798" s="244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</row>
    <row r="799">
      <c r="A799" s="38"/>
      <c r="B799" s="38"/>
      <c r="C799" s="243"/>
      <c r="D799" s="243"/>
      <c r="E799" s="38"/>
      <c r="F799" s="38"/>
      <c r="G799" s="38"/>
      <c r="H799" s="38"/>
      <c r="I799" s="38"/>
      <c r="J799" s="38"/>
      <c r="K799" s="38"/>
      <c r="L799" s="244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</row>
    <row r="800">
      <c r="A800" s="38"/>
      <c r="B800" s="38"/>
      <c r="C800" s="243"/>
      <c r="D800" s="243"/>
      <c r="E800" s="38"/>
      <c r="F800" s="38"/>
      <c r="G800" s="38"/>
      <c r="H800" s="38"/>
      <c r="I800" s="38"/>
      <c r="J800" s="38"/>
      <c r="K800" s="38"/>
      <c r="L800" s="244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</row>
    <row r="801">
      <c r="A801" s="38"/>
      <c r="B801" s="38"/>
      <c r="C801" s="243"/>
      <c r="D801" s="243"/>
      <c r="E801" s="38"/>
      <c r="F801" s="38"/>
      <c r="G801" s="38"/>
      <c r="H801" s="38"/>
      <c r="I801" s="38"/>
      <c r="J801" s="38"/>
      <c r="K801" s="38"/>
      <c r="L801" s="244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</row>
    <row r="802">
      <c r="A802" s="38"/>
      <c r="B802" s="38"/>
      <c r="C802" s="243"/>
      <c r="D802" s="243"/>
      <c r="E802" s="38"/>
      <c r="F802" s="38"/>
      <c r="G802" s="38"/>
      <c r="H802" s="38"/>
      <c r="I802" s="38"/>
      <c r="J802" s="38"/>
      <c r="K802" s="38"/>
      <c r="L802" s="244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</row>
    <row r="803">
      <c r="A803" s="38"/>
      <c r="B803" s="38"/>
      <c r="C803" s="243"/>
      <c r="D803" s="243"/>
      <c r="E803" s="38"/>
      <c r="F803" s="38"/>
      <c r="G803" s="38"/>
      <c r="H803" s="38"/>
      <c r="I803" s="38"/>
      <c r="J803" s="38"/>
      <c r="K803" s="38"/>
      <c r="L803" s="244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</row>
    <row r="804">
      <c r="A804" s="38"/>
      <c r="B804" s="38"/>
      <c r="C804" s="243"/>
      <c r="D804" s="243"/>
      <c r="E804" s="38"/>
      <c r="F804" s="38"/>
      <c r="G804" s="38"/>
      <c r="H804" s="38"/>
      <c r="I804" s="38"/>
      <c r="J804" s="38"/>
      <c r="K804" s="38"/>
      <c r="L804" s="244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</row>
    <row r="805">
      <c r="A805" s="38"/>
      <c r="B805" s="38"/>
      <c r="C805" s="243"/>
      <c r="D805" s="243"/>
      <c r="E805" s="38"/>
      <c r="F805" s="38"/>
      <c r="G805" s="38"/>
      <c r="H805" s="38"/>
      <c r="I805" s="38"/>
      <c r="J805" s="38"/>
      <c r="K805" s="38"/>
      <c r="L805" s="244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</row>
    <row r="806">
      <c r="A806" s="38"/>
      <c r="B806" s="38"/>
      <c r="C806" s="243"/>
      <c r="D806" s="243"/>
      <c r="E806" s="38"/>
      <c r="F806" s="38"/>
      <c r="G806" s="38"/>
      <c r="H806" s="38"/>
      <c r="I806" s="38"/>
      <c r="J806" s="38"/>
      <c r="K806" s="38"/>
      <c r="L806" s="244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</row>
    <row r="807">
      <c r="A807" s="38"/>
      <c r="B807" s="38"/>
      <c r="C807" s="243"/>
      <c r="D807" s="243"/>
      <c r="E807" s="38"/>
      <c r="F807" s="38"/>
      <c r="G807" s="38"/>
      <c r="H807" s="38"/>
      <c r="I807" s="38"/>
      <c r="J807" s="38"/>
      <c r="K807" s="38"/>
      <c r="L807" s="244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</row>
    <row r="808">
      <c r="A808" s="38"/>
      <c r="B808" s="38"/>
      <c r="C808" s="243"/>
      <c r="D808" s="243"/>
      <c r="E808" s="38"/>
      <c r="F808" s="38"/>
      <c r="G808" s="38"/>
      <c r="H808" s="38"/>
      <c r="I808" s="38"/>
      <c r="J808" s="38"/>
      <c r="K808" s="38"/>
      <c r="L808" s="244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</row>
    <row r="809">
      <c r="A809" s="38"/>
      <c r="B809" s="38"/>
      <c r="C809" s="243"/>
      <c r="D809" s="243"/>
      <c r="E809" s="38"/>
      <c r="F809" s="38"/>
      <c r="G809" s="38"/>
      <c r="H809" s="38"/>
      <c r="I809" s="38"/>
      <c r="J809" s="38"/>
      <c r="K809" s="38"/>
      <c r="L809" s="244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</row>
    <row r="810">
      <c r="A810" s="38"/>
      <c r="B810" s="38"/>
      <c r="C810" s="243"/>
      <c r="D810" s="243"/>
      <c r="E810" s="38"/>
      <c r="F810" s="38"/>
      <c r="G810" s="38"/>
      <c r="H810" s="38"/>
      <c r="I810" s="38"/>
      <c r="J810" s="38"/>
      <c r="K810" s="38"/>
      <c r="L810" s="244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</row>
    <row r="811">
      <c r="A811" s="38"/>
      <c r="B811" s="38"/>
      <c r="C811" s="243"/>
      <c r="D811" s="243"/>
      <c r="E811" s="38"/>
      <c r="F811" s="38"/>
      <c r="G811" s="38"/>
      <c r="H811" s="38"/>
      <c r="I811" s="38"/>
      <c r="J811" s="38"/>
      <c r="K811" s="38"/>
      <c r="L811" s="244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</row>
    <row r="812">
      <c r="A812" s="38"/>
      <c r="B812" s="38"/>
      <c r="C812" s="243"/>
      <c r="D812" s="243"/>
      <c r="E812" s="38"/>
      <c r="F812" s="38"/>
      <c r="G812" s="38"/>
      <c r="H812" s="38"/>
      <c r="I812" s="38"/>
      <c r="J812" s="38"/>
      <c r="K812" s="38"/>
      <c r="L812" s="244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</row>
    <row r="813">
      <c r="A813" s="38"/>
      <c r="B813" s="38"/>
      <c r="C813" s="243"/>
      <c r="D813" s="243"/>
      <c r="E813" s="38"/>
      <c r="F813" s="38"/>
      <c r="G813" s="38"/>
      <c r="H813" s="38"/>
      <c r="I813" s="38"/>
      <c r="J813" s="38"/>
      <c r="K813" s="38"/>
      <c r="L813" s="244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</row>
    <row r="814">
      <c r="A814" s="38"/>
      <c r="B814" s="38"/>
      <c r="C814" s="243"/>
      <c r="D814" s="243"/>
      <c r="E814" s="38"/>
      <c r="F814" s="38"/>
      <c r="G814" s="38"/>
      <c r="H814" s="38"/>
      <c r="I814" s="38"/>
      <c r="J814" s="38"/>
      <c r="K814" s="38"/>
      <c r="L814" s="244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</row>
    <row r="815">
      <c r="A815" s="38"/>
      <c r="B815" s="38"/>
      <c r="C815" s="243"/>
      <c r="D815" s="243"/>
      <c r="E815" s="38"/>
      <c r="F815" s="38"/>
      <c r="G815" s="38"/>
      <c r="H815" s="38"/>
      <c r="I815" s="38"/>
      <c r="J815" s="38"/>
      <c r="K815" s="38"/>
      <c r="L815" s="244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</row>
    <row r="816">
      <c r="A816" s="38"/>
      <c r="B816" s="38"/>
      <c r="C816" s="243"/>
      <c r="D816" s="243"/>
      <c r="E816" s="38"/>
      <c r="F816" s="38"/>
      <c r="G816" s="38"/>
      <c r="H816" s="38"/>
      <c r="I816" s="38"/>
      <c r="J816" s="38"/>
      <c r="K816" s="38"/>
      <c r="L816" s="244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</row>
    <row r="817">
      <c r="A817" s="38"/>
      <c r="B817" s="38"/>
      <c r="C817" s="243"/>
      <c r="D817" s="243"/>
      <c r="E817" s="38"/>
      <c r="F817" s="38"/>
      <c r="G817" s="38"/>
      <c r="H817" s="38"/>
      <c r="I817" s="38"/>
      <c r="J817" s="38"/>
      <c r="K817" s="38"/>
      <c r="L817" s="244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</row>
    <row r="818">
      <c r="A818" s="38"/>
      <c r="B818" s="38"/>
      <c r="C818" s="243"/>
      <c r="D818" s="243"/>
      <c r="E818" s="38"/>
      <c r="F818" s="38"/>
      <c r="G818" s="38"/>
      <c r="H818" s="38"/>
      <c r="I818" s="38"/>
      <c r="J818" s="38"/>
      <c r="K818" s="38"/>
      <c r="L818" s="244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</row>
    <row r="819">
      <c r="A819" s="38"/>
      <c r="B819" s="38"/>
      <c r="C819" s="243"/>
      <c r="D819" s="243"/>
      <c r="E819" s="38"/>
      <c r="F819" s="38"/>
      <c r="G819" s="38"/>
      <c r="H819" s="38"/>
      <c r="I819" s="38"/>
      <c r="J819" s="38"/>
      <c r="K819" s="38"/>
      <c r="L819" s="244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</row>
    <row r="820">
      <c r="A820" s="38"/>
      <c r="B820" s="38"/>
      <c r="C820" s="243"/>
      <c r="D820" s="243"/>
      <c r="E820" s="38"/>
      <c r="F820" s="38"/>
      <c r="G820" s="38"/>
      <c r="H820" s="38"/>
      <c r="I820" s="38"/>
      <c r="J820" s="38"/>
      <c r="K820" s="38"/>
      <c r="L820" s="244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</row>
    <row r="821">
      <c r="A821" s="38"/>
      <c r="B821" s="38"/>
      <c r="C821" s="243"/>
      <c r="D821" s="243"/>
      <c r="E821" s="38"/>
      <c r="F821" s="38"/>
      <c r="G821" s="38"/>
      <c r="H821" s="38"/>
      <c r="I821" s="38"/>
      <c r="J821" s="38"/>
      <c r="K821" s="38"/>
      <c r="L821" s="244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</row>
    <row r="822">
      <c r="A822" s="38"/>
      <c r="B822" s="38"/>
      <c r="C822" s="243"/>
      <c r="D822" s="243"/>
      <c r="E822" s="38"/>
      <c r="F822" s="38"/>
      <c r="G822" s="38"/>
      <c r="H822" s="38"/>
      <c r="I822" s="38"/>
      <c r="J822" s="38"/>
      <c r="K822" s="38"/>
      <c r="L822" s="244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</row>
    <row r="823">
      <c r="A823" s="38"/>
      <c r="B823" s="38"/>
      <c r="C823" s="243"/>
      <c r="D823" s="243"/>
      <c r="E823" s="38"/>
      <c r="F823" s="38"/>
      <c r="G823" s="38"/>
      <c r="H823" s="38"/>
      <c r="I823" s="38"/>
      <c r="J823" s="38"/>
      <c r="K823" s="38"/>
      <c r="L823" s="244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</row>
    <row r="824">
      <c r="A824" s="38"/>
      <c r="B824" s="38"/>
      <c r="C824" s="243"/>
      <c r="D824" s="243"/>
      <c r="E824" s="38"/>
      <c r="F824" s="38"/>
      <c r="G824" s="38"/>
      <c r="H824" s="38"/>
      <c r="I824" s="38"/>
      <c r="J824" s="38"/>
      <c r="K824" s="38"/>
      <c r="L824" s="244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</row>
    <row r="825">
      <c r="A825" s="38"/>
      <c r="B825" s="38"/>
      <c r="C825" s="243"/>
      <c r="D825" s="243"/>
      <c r="E825" s="38"/>
      <c r="F825" s="38"/>
      <c r="G825" s="38"/>
      <c r="H825" s="38"/>
      <c r="I825" s="38"/>
      <c r="J825" s="38"/>
      <c r="K825" s="38"/>
      <c r="L825" s="244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</row>
    <row r="826">
      <c r="A826" s="38"/>
      <c r="B826" s="38"/>
      <c r="C826" s="243"/>
      <c r="D826" s="243"/>
      <c r="E826" s="38"/>
      <c r="F826" s="38"/>
      <c r="G826" s="38"/>
      <c r="H826" s="38"/>
      <c r="I826" s="38"/>
      <c r="J826" s="38"/>
      <c r="K826" s="38"/>
      <c r="L826" s="244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</row>
    <row r="827">
      <c r="A827" s="38"/>
      <c r="B827" s="38"/>
      <c r="C827" s="243"/>
      <c r="D827" s="243"/>
      <c r="E827" s="38"/>
      <c r="F827" s="38"/>
      <c r="G827" s="38"/>
      <c r="H827" s="38"/>
      <c r="I827" s="38"/>
      <c r="J827" s="38"/>
      <c r="K827" s="38"/>
      <c r="L827" s="244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</row>
    <row r="828">
      <c r="A828" s="38"/>
      <c r="B828" s="38"/>
      <c r="C828" s="243"/>
      <c r="D828" s="243"/>
      <c r="E828" s="38"/>
      <c r="F828" s="38"/>
      <c r="G828" s="38"/>
      <c r="H828" s="38"/>
      <c r="I828" s="38"/>
      <c r="J828" s="38"/>
      <c r="K828" s="38"/>
      <c r="L828" s="244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</row>
    <row r="829">
      <c r="A829" s="38"/>
      <c r="B829" s="38"/>
      <c r="C829" s="243"/>
      <c r="D829" s="243"/>
      <c r="E829" s="38"/>
      <c r="F829" s="38"/>
      <c r="G829" s="38"/>
      <c r="H829" s="38"/>
      <c r="I829" s="38"/>
      <c r="J829" s="38"/>
      <c r="K829" s="38"/>
      <c r="L829" s="244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</row>
    <row r="830">
      <c r="A830" s="38"/>
      <c r="B830" s="38"/>
      <c r="C830" s="243"/>
      <c r="D830" s="243"/>
      <c r="E830" s="38"/>
      <c r="F830" s="38"/>
      <c r="G830" s="38"/>
      <c r="H830" s="38"/>
      <c r="I830" s="38"/>
      <c r="J830" s="38"/>
      <c r="K830" s="38"/>
      <c r="L830" s="244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</row>
    <row r="831">
      <c r="A831" s="38"/>
      <c r="B831" s="38"/>
      <c r="C831" s="243"/>
      <c r="D831" s="243"/>
      <c r="E831" s="38"/>
      <c r="F831" s="38"/>
      <c r="G831" s="38"/>
      <c r="H831" s="38"/>
      <c r="I831" s="38"/>
      <c r="J831" s="38"/>
      <c r="K831" s="38"/>
      <c r="L831" s="244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</row>
    <row r="832">
      <c r="A832" s="38"/>
      <c r="B832" s="38"/>
      <c r="C832" s="243"/>
      <c r="D832" s="243"/>
      <c r="E832" s="38"/>
      <c r="F832" s="38"/>
      <c r="G832" s="38"/>
      <c r="H832" s="38"/>
      <c r="I832" s="38"/>
      <c r="J832" s="38"/>
      <c r="K832" s="38"/>
      <c r="L832" s="244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</row>
    <row r="833">
      <c r="A833" s="38"/>
      <c r="B833" s="38"/>
      <c r="C833" s="243"/>
      <c r="D833" s="243"/>
      <c r="E833" s="38"/>
      <c r="F833" s="38"/>
      <c r="G833" s="38"/>
      <c r="H833" s="38"/>
      <c r="I833" s="38"/>
      <c r="J833" s="38"/>
      <c r="K833" s="38"/>
      <c r="L833" s="244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</row>
    <row r="834">
      <c r="A834" s="38"/>
      <c r="B834" s="38"/>
      <c r="C834" s="243"/>
      <c r="D834" s="243"/>
      <c r="E834" s="38"/>
      <c r="F834" s="38"/>
      <c r="G834" s="38"/>
      <c r="H834" s="38"/>
      <c r="I834" s="38"/>
      <c r="J834" s="38"/>
      <c r="K834" s="38"/>
      <c r="L834" s="244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</row>
    <row r="835">
      <c r="A835" s="38"/>
      <c r="B835" s="38"/>
      <c r="C835" s="243"/>
      <c r="D835" s="243"/>
      <c r="E835" s="38"/>
      <c r="F835" s="38"/>
      <c r="G835" s="38"/>
      <c r="H835" s="38"/>
      <c r="I835" s="38"/>
      <c r="J835" s="38"/>
      <c r="K835" s="38"/>
      <c r="L835" s="244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</row>
    <row r="836">
      <c r="A836" s="38"/>
      <c r="B836" s="38"/>
      <c r="C836" s="243"/>
      <c r="D836" s="243"/>
      <c r="E836" s="38"/>
      <c r="F836" s="38"/>
      <c r="G836" s="38"/>
      <c r="H836" s="38"/>
      <c r="I836" s="38"/>
      <c r="J836" s="38"/>
      <c r="K836" s="38"/>
      <c r="L836" s="244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</row>
    <row r="837">
      <c r="A837" s="38"/>
      <c r="B837" s="38"/>
      <c r="C837" s="243"/>
      <c r="D837" s="243"/>
      <c r="E837" s="38"/>
      <c r="F837" s="38"/>
      <c r="G837" s="38"/>
      <c r="H837" s="38"/>
      <c r="I837" s="38"/>
      <c r="J837" s="38"/>
      <c r="K837" s="38"/>
      <c r="L837" s="244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</row>
    <row r="838">
      <c r="A838" s="38"/>
      <c r="B838" s="38"/>
      <c r="C838" s="243"/>
      <c r="D838" s="243"/>
      <c r="E838" s="38"/>
      <c r="F838" s="38"/>
      <c r="G838" s="38"/>
      <c r="H838" s="38"/>
      <c r="I838" s="38"/>
      <c r="J838" s="38"/>
      <c r="K838" s="38"/>
      <c r="L838" s="244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</row>
    <row r="839">
      <c r="A839" s="38"/>
      <c r="B839" s="38"/>
      <c r="C839" s="243"/>
      <c r="D839" s="243"/>
      <c r="E839" s="38"/>
      <c r="F839" s="38"/>
      <c r="G839" s="38"/>
      <c r="H839" s="38"/>
      <c r="I839" s="38"/>
      <c r="J839" s="38"/>
      <c r="K839" s="38"/>
      <c r="L839" s="244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</row>
    <row r="840">
      <c r="A840" s="38"/>
      <c r="B840" s="38"/>
      <c r="C840" s="243"/>
      <c r="D840" s="243"/>
      <c r="E840" s="38"/>
      <c r="F840" s="38"/>
      <c r="G840" s="38"/>
      <c r="H840" s="38"/>
      <c r="I840" s="38"/>
      <c r="J840" s="38"/>
      <c r="K840" s="38"/>
      <c r="L840" s="244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</row>
    <row r="841">
      <c r="A841" s="38"/>
      <c r="B841" s="38"/>
      <c r="C841" s="243"/>
      <c r="D841" s="243"/>
      <c r="E841" s="38"/>
      <c r="F841" s="38"/>
      <c r="G841" s="38"/>
      <c r="H841" s="38"/>
      <c r="I841" s="38"/>
      <c r="J841" s="38"/>
      <c r="K841" s="38"/>
      <c r="L841" s="244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</row>
    <row r="842">
      <c r="A842" s="38"/>
      <c r="B842" s="38"/>
      <c r="C842" s="243"/>
      <c r="D842" s="243"/>
      <c r="E842" s="38"/>
      <c r="F842" s="38"/>
      <c r="G842" s="38"/>
      <c r="H842" s="38"/>
      <c r="I842" s="38"/>
      <c r="J842" s="38"/>
      <c r="K842" s="38"/>
      <c r="L842" s="244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</row>
    <row r="843">
      <c r="A843" s="38"/>
      <c r="B843" s="38"/>
      <c r="C843" s="243"/>
      <c r="D843" s="243"/>
      <c r="E843" s="38"/>
      <c r="F843" s="38"/>
      <c r="G843" s="38"/>
      <c r="H843" s="38"/>
      <c r="I843" s="38"/>
      <c r="J843" s="38"/>
      <c r="K843" s="38"/>
      <c r="L843" s="244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</row>
    <row r="844">
      <c r="A844" s="38"/>
      <c r="B844" s="38"/>
      <c r="C844" s="243"/>
      <c r="D844" s="243"/>
      <c r="E844" s="38"/>
      <c r="F844" s="38"/>
      <c r="G844" s="38"/>
      <c r="H844" s="38"/>
      <c r="I844" s="38"/>
      <c r="J844" s="38"/>
      <c r="K844" s="38"/>
      <c r="L844" s="244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</row>
    <row r="845">
      <c r="A845" s="38"/>
      <c r="B845" s="38"/>
      <c r="C845" s="243"/>
      <c r="D845" s="243"/>
      <c r="E845" s="38"/>
      <c r="F845" s="38"/>
      <c r="G845" s="38"/>
      <c r="H845" s="38"/>
      <c r="I845" s="38"/>
      <c r="J845" s="38"/>
      <c r="K845" s="38"/>
      <c r="L845" s="244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</row>
    <row r="846">
      <c r="A846" s="38"/>
      <c r="B846" s="38"/>
      <c r="C846" s="243"/>
      <c r="D846" s="243"/>
      <c r="E846" s="38"/>
      <c r="F846" s="38"/>
      <c r="G846" s="38"/>
      <c r="H846" s="38"/>
      <c r="I846" s="38"/>
      <c r="J846" s="38"/>
      <c r="K846" s="38"/>
      <c r="L846" s="244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</row>
    <row r="847">
      <c r="A847" s="38"/>
      <c r="B847" s="38"/>
      <c r="C847" s="243"/>
      <c r="D847" s="243"/>
      <c r="E847" s="38"/>
      <c r="F847" s="38"/>
      <c r="G847" s="38"/>
      <c r="H847" s="38"/>
      <c r="I847" s="38"/>
      <c r="J847" s="38"/>
      <c r="K847" s="38"/>
      <c r="L847" s="244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</row>
    <row r="848">
      <c r="A848" s="38"/>
      <c r="B848" s="38"/>
      <c r="C848" s="243"/>
      <c r="D848" s="243"/>
      <c r="E848" s="38"/>
      <c r="F848" s="38"/>
      <c r="G848" s="38"/>
      <c r="H848" s="38"/>
      <c r="I848" s="38"/>
      <c r="J848" s="38"/>
      <c r="K848" s="38"/>
      <c r="L848" s="244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</row>
    <row r="849">
      <c r="A849" s="38"/>
      <c r="B849" s="38"/>
      <c r="C849" s="243"/>
      <c r="D849" s="243"/>
      <c r="E849" s="38"/>
      <c r="F849" s="38"/>
      <c r="G849" s="38"/>
      <c r="H849" s="38"/>
      <c r="I849" s="38"/>
      <c r="J849" s="38"/>
      <c r="K849" s="38"/>
      <c r="L849" s="244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</row>
    <row r="850">
      <c r="A850" s="38"/>
      <c r="B850" s="38"/>
      <c r="C850" s="243"/>
      <c r="D850" s="243"/>
      <c r="E850" s="38"/>
      <c r="F850" s="38"/>
      <c r="G850" s="38"/>
      <c r="H850" s="38"/>
      <c r="I850" s="38"/>
      <c r="J850" s="38"/>
      <c r="K850" s="38"/>
      <c r="L850" s="244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</row>
    <row r="851">
      <c r="A851" s="38"/>
      <c r="B851" s="38"/>
      <c r="C851" s="243"/>
      <c r="D851" s="243"/>
      <c r="E851" s="38"/>
      <c r="F851" s="38"/>
      <c r="G851" s="38"/>
      <c r="H851" s="38"/>
      <c r="I851" s="38"/>
      <c r="J851" s="38"/>
      <c r="K851" s="38"/>
      <c r="L851" s="244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</row>
    <row r="852">
      <c r="A852" s="38"/>
      <c r="B852" s="38"/>
      <c r="C852" s="243"/>
      <c r="D852" s="243"/>
      <c r="E852" s="38"/>
      <c r="F852" s="38"/>
      <c r="G852" s="38"/>
      <c r="H852" s="38"/>
      <c r="I852" s="38"/>
      <c r="J852" s="38"/>
      <c r="K852" s="38"/>
      <c r="L852" s="244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</row>
    <row r="853">
      <c r="A853" s="38"/>
      <c r="B853" s="38"/>
      <c r="C853" s="243"/>
      <c r="D853" s="243"/>
      <c r="E853" s="38"/>
      <c r="F853" s="38"/>
      <c r="G853" s="38"/>
      <c r="H853" s="38"/>
      <c r="I853" s="38"/>
      <c r="J853" s="38"/>
      <c r="K853" s="38"/>
      <c r="L853" s="244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</row>
    <row r="854">
      <c r="A854" s="38"/>
      <c r="B854" s="38"/>
      <c r="C854" s="243"/>
      <c r="D854" s="243"/>
      <c r="E854" s="38"/>
      <c r="F854" s="38"/>
      <c r="G854" s="38"/>
      <c r="H854" s="38"/>
      <c r="I854" s="38"/>
      <c r="J854" s="38"/>
      <c r="K854" s="38"/>
      <c r="L854" s="244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</row>
    <row r="855">
      <c r="A855" s="38"/>
      <c r="B855" s="38"/>
      <c r="C855" s="243"/>
      <c r="D855" s="243"/>
      <c r="E855" s="38"/>
      <c r="F855" s="38"/>
      <c r="G855" s="38"/>
      <c r="H855" s="38"/>
      <c r="I855" s="38"/>
      <c r="J855" s="38"/>
      <c r="K855" s="38"/>
      <c r="L855" s="244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</row>
    <row r="856">
      <c r="A856" s="38"/>
      <c r="B856" s="38"/>
      <c r="C856" s="243"/>
      <c r="D856" s="243"/>
      <c r="E856" s="38"/>
      <c r="F856" s="38"/>
      <c r="G856" s="38"/>
      <c r="H856" s="38"/>
      <c r="I856" s="38"/>
      <c r="J856" s="38"/>
      <c r="K856" s="38"/>
      <c r="L856" s="244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</row>
    <row r="857">
      <c r="A857" s="38"/>
      <c r="B857" s="38"/>
      <c r="C857" s="243"/>
      <c r="D857" s="243"/>
      <c r="E857" s="38"/>
      <c r="F857" s="38"/>
      <c r="G857" s="38"/>
      <c r="H857" s="38"/>
      <c r="I857" s="38"/>
      <c r="J857" s="38"/>
      <c r="K857" s="38"/>
      <c r="L857" s="244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</row>
    <row r="858">
      <c r="A858" s="38"/>
      <c r="B858" s="38"/>
      <c r="C858" s="243"/>
      <c r="D858" s="243"/>
      <c r="E858" s="38"/>
      <c r="F858" s="38"/>
      <c r="G858" s="38"/>
      <c r="H858" s="38"/>
      <c r="I858" s="38"/>
      <c r="J858" s="38"/>
      <c r="K858" s="38"/>
      <c r="L858" s="244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</row>
    <row r="859">
      <c r="A859" s="38"/>
      <c r="B859" s="38"/>
      <c r="C859" s="243"/>
      <c r="D859" s="243"/>
      <c r="E859" s="38"/>
      <c r="F859" s="38"/>
      <c r="G859" s="38"/>
      <c r="H859" s="38"/>
      <c r="I859" s="38"/>
      <c r="J859" s="38"/>
      <c r="K859" s="38"/>
      <c r="L859" s="244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</row>
    <row r="860">
      <c r="A860" s="38"/>
      <c r="B860" s="38"/>
      <c r="C860" s="243"/>
      <c r="D860" s="243"/>
      <c r="E860" s="38"/>
      <c r="F860" s="38"/>
      <c r="G860" s="38"/>
      <c r="H860" s="38"/>
      <c r="I860" s="38"/>
      <c r="J860" s="38"/>
      <c r="K860" s="38"/>
      <c r="L860" s="244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</row>
    <row r="861">
      <c r="A861" s="38"/>
      <c r="B861" s="38"/>
      <c r="C861" s="243"/>
      <c r="D861" s="243"/>
      <c r="E861" s="38"/>
      <c r="F861" s="38"/>
      <c r="G861" s="38"/>
      <c r="H861" s="38"/>
      <c r="I861" s="38"/>
      <c r="J861" s="38"/>
      <c r="K861" s="38"/>
      <c r="L861" s="244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</row>
    <row r="862">
      <c r="A862" s="38"/>
      <c r="B862" s="38"/>
      <c r="C862" s="243"/>
      <c r="D862" s="243"/>
      <c r="E862" s="38"/>
      <c r="F862" s="38"/>
      <c r="G862" s="38"/>
      <c r="H862" s="38"/>
      <c r="I862" s="38"/>
      <c r="J862" s="38"/>
      <c r="K862" s="38"/>
      <c r="L862" s="244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</row>
    <row r="863">
      <c r="A863" s="38"/>
      <c r="B863" s="38"/>
      <c r="C863" s="243"/>
      <c r="D863" s="243"/>
      <c r="E863" s="38"/>
      <c r="F863" s="38"/>
      <c r="G863" s="38"/>
      <c r="H863" s="38"/>
      <c r="I863" s="38"/>
      <c r="J863" s="38"/>
      <c r="K863" s="38"/>
      <c r="L863" s="244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</row>
    <row r="864">
      <c r="A864" s="38"/>
      <c r="B864" s="38"/>
      <c r="C864" s="243"/>
      <c r="D864" s="243"/>
      <c r="E864" s="38"/>
      <c r="F864" s="38"/>
      <c r="G864" s="38"/>
      <c r="H864" s="38"/>
      <c r="I864" s="38"/>
      <c r="J864" s="38"/>
      <c r="K864" s="38"/>
      <c r="L864" s="244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</row>
    <row r="865">
      <c r="A865" s="38"/>
      <c r="B865" s="38"/>
      <c r="C865" s="243"/>
      <c r="D865" s="243"/>
      <c r="E865" s="38"/>
      <c r="F865" s="38"/>
      <c r="G865" s="38"/>
      <c r="H865" s="38"/>
      <c r="I865" s="38"/>
      <c r="J865" s="38"/>
      <c r="K865" s="38"/>
      <c r="L865" s="244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</row>
    <row r="866">
      <c r="A866" s="38"/>
      <c r="B866" s="38"/>
      <c r="C866" s="243"/>
      <c r="D866" s="243"/>
      <c r="E866" s="38"/>
      <c r="F866" s="38"/>
      <c r="G866" s="38"/>
      <c r="H866" s="38"/>
      <c r="I866" s="38"/>
      <c r="J866" s="38"/>
      <c r="K866" s="38"/>
      <c r="L866" s="244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</row>
    <row r="867">
      <c r="A867" s="38"/>
      <c r="B867" s="38"/>
      <c r="C867" s="243"/>
      <c r="D867" s="243"/>
      <c r="E867" s="38"/>
      <c r="F867" s="38"/>
      <c r="G867" s="38"/>
      <c r="H867" s="38"/>
      <c r="I867" s="38"/>
      <c r="J867" s="38"/>
      <c r="K867" s="38"/>
      <c r="L867" s="244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</row>
    <row r="868">
      <c r="A868" s="38"/>
      <c r="B868" s="38"/>
      <c r="C868" s="243"/>
      <c r="D868" s="243"/>
      <c r="E868" s="38"/>
      <c r="F868" s="38"/>
      <c r="G868" s="38"/>
      <c r="H868" s="38"/>
      <c r="I868" s="38"/>
      <c r="J868" s="38"/>
      <c r="K868" s="38"/>
      <c r="L868" s="244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</row>
    <row r="869">
      <c r="A869" s="38"/>
      <c r="B869" s="38"/>
      <c r="C869" s="243"/>
      <c r="D869" s="243"/>
      <c r="E869" s="38"/>
      <c r="F869" s="38"/>
      <c r="G869" s="38"/>
      <c r="H869" s="38"/>
      <c r="I869" s="38"/>
      <c r="J869" s="38"/>
      <c r="K869" s="38"/>
      <c r="L869" s="244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</row>
    <row r="870">
      <c r="A870" s="38"/>
      <c r="B870" s="38"/>
      <c r="C870" s="243"/>
      <c r="D870" s="243"/>
      <c r="E870" s="38"/>
      <c r="F870" s="38"/>
      <c r="G870" s="38"/>
      <c r="H870" s="38"/>
      <c r="I870" s="38"/>
      <c r="J870" s="38"/>
      <c r="K870" s="38"/>
      <c r="L870" s="244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</row>
    <row r="871">
      <c r="A871" s="38"/>
      <c r="B871" s="38"/>
      <c r="C871" s="243"/>
      <c r="D871" s="243"/>
      <c r="E871" s="38"/>
      <c r="F871" s="38"/>
      <c r="G871" s="38"/>
      <c r="H871" s="38"/>
      <c r="I871" s="38"/>
      <c r="J871" s="38"/>
      <c r="K871" s="38"/>
      <c r="L871" s="244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</row>
    <row r="872">
      <c r="A872" s="38"/>
      <c r="B872" s="38"/>
      <c r="C872" s="243"/>
      <c r="D872" s="243"/>
      <c r="E872" s="38"/>
      <c r="F872" s="38"/>
      <c r="G872" s="38"/>
      <c r="H872" s="38"/>
      <c r="I872" s="38"/>
      <c r="J872" s="38"/>
      <c r="K872" s="38"/>
      <c r="L872" s="244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</row>
    <row r="873">
      <c r="A873" s="38"/>
      <c r="B873" s="38"/>
      <c r="C873" s="243"/>
      <c r="D873" s="243"/>
      <c r="E873" s="38"/>
      <c r="F873" s="38"/>
      <c r="G873" s="38"/>
      <c r="H873" s="38"/>
      <c r="I873" s="38"/>
      <c r="J873" s="38"/>
      <c r="K873" s="38"/>
      <c r="L873" s="244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</row>
    <row r="874">
      <c r="A874" s="38"/>
      <c r="B874" s="38"/>
      <c r="C874" s="243"/>
      <c r="D874" s="243"/>
      <c r="E874" s="38"/>
      <c r="F874" s="38"/>
      <c r="G874" s="38"/>
      <c r="H874" s="38"/>
      <c r="I874" s="38"/>
      <c r="J874" s="38"/>
      <c r="K874" s="38"/>
      <c r="L874" s="244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</row>
    <row r="875">
      <c r="A875" s="38"/>
      <c r="B875" s="38"/>
      <c r="C875" s="243"/>
      <c r="D875" s="243"/>
      <c r="E875" s="38"/>
      <c r="F875" s="38"/>
      <c r="G875" s="38"/>
      <c r="H875" s="38"/>
      <c r="I875" s="38"/>
      <c r="J875" s="38"/>
      <c r="K875" s="38"/>
      <c r="L875" s="244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</row>
    <row r="876">
      <c r="A876" s="38"/>
      <c r="B876" s="38"/>
      <c r="C876" s="243"/>
      <c r="D876" s="243"/>
      <c r="E876" s="38"/>
      <c r="F876" s="38"/>
      <c r="G876" s="38"/>
      <c r="H876" s="38"/>
      <c r="I876" s="38"/>
      <c r="J876" s="38"/>
      <c r="K876" s="38"/>
      <c r="L876" s="244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</row>
    <row r="877">
      <c r="A877" s="38"/>
      <c r="B877" s="38"/>
      <c r="C877" s="243"/>
      <c r="D877" s="243"/>
      <c r="E877" s="38"/>
      <c r="F877" s="38"/>
      <c r="G877" s="38"/>
      <c r="H877" s="38"/>
      <c r="I877" s="38"/>
      <c r="J877" s="38"/>
      <c r="K877" s="38"/>
      <c r="L877" s="244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</row>
    <row r="878">
      <c r="A878" s="38"/>
      <c r="B878" s="38"/>
      <c r="C878" s="243"/>
      <c r="D878" s="243"/>
      <c r="E878" s="38"/>
      <c r="F878" s="38"/>
      <c r="G878" s="38"/>
      <c r="H878" s="38"/>
      <c r="I878" s="38"/>
      <c r="J878" s="38"/>
      <c r="K878" s="38"/>
      <c r="L878" s="244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</row>
    <row r="879">
      <c r="A879" s="38"/>
      <c r="B879" s="38"/>
      <c r="C879" s="243"/>
      <c r="D879" s="243"/>
      <c r="E879" s="38"/>
      <c r="F879" s="38"/>
      <c r="G879" s="38"/>
      <c r="H879" s="38"/>
      <c r="I879" s="38"/>
      <c r="J879" s="38"/>
      <c r="K879" s="38"/>
      <c r="L879" s="244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</row>
    <row r="880">
      <c r="A880" s="38"/>
      <c r="B880" s="38"/>
      <c r="C880" s="243"/>
      <c r="D880" s="243"/>
      <c r="E880" s="38"/>
      <c r="F880" s="38"/>
      <c r="G880" s="38"/>
      <c r="H880" s="38"/>
      <c r="I880" s="38"/>
      <c r="J880" s="38"/>
      <c r="K880" s="38"/>
      <c r="L880" s="244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</row>
    <row r="881">
      <c r="A881" s="38"/>
      <c r="B881" s="38"/>
      <c r="C881" s="243"/>
      <c r="D881" s="243"/>
      <c r="E881" s="38"/>
      <c r="F881" s="38"/>
      <c r="G881" s="38"/>
      <c r="H881" s="38"/>
      <c r="I881" s="38"/>
      <c r="J881" s="38"/>
      <c r="K881" s="38"/>
      <c r="L881" s="244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</row>
    <row r="882">
      <c r="A882" s="38"/>
      <c r="B882" s="38"/>
      <c r="C882" s="243"/>
      <c r="D882" s="243"/>
      <c r="E882" s="38"/>
      <c r="F882" s="38"/>
      <c r="G882" s="38"/>
      <c r="H882" s="38"/>
      <c r="I882" s="38"/>
      <c r="J882" s="38"/>
      <c r="K882" s="38"/>
      <c r="L882" s="244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</row>
    <row r="883">
      <c r="A883" s="38"/>
      <c r="B883" s="38"/>
      <c r="C883" s="243"/>
      <c r="D883" s="243"/>
      <c r="E883" s="38"/>
      <c r="F883" s="38"/>
      <c r="G883" s="38"/>
      <c r="H883" s="38"/>
      <c r="I883" s="38"/>
      <c r="J883" s="38"/>
      <c r="K883" s="38"/>
      <c r="L883" s="244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</row>
    <row r="884">
      <c r="A884" s="38"/>
      <c r="B884" s="38"/>
      <c r="C884" s="243"/>
      <c r="D884" s="243"/>
      <c r="E884" s="38"/>
      <c r="F884" s="38"/>
      <c r="G884" s="38"/>
      <c r="H884" s="38"/>
      <c r="I884" s="38"/>
      <c r="J884" s="38"/>
      <c r="K884" s="38"/>
      <c r="L884" s="244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</row>
    <row r="885">
      <c r="A885" s="38"/>
      <c r="B885" s="38"/>
      <c r="C885" s="243"/>
      <c r="D885" s="243"/>
      <c r="E885" s="38"/>
      <c r="F885" s="38"/>
      <c r="G885" s="38"/>
      <c r="H885" s="38"/>
      <c r="I885" s="38"/>
      <c r="J885" s="38"/>
      <c r="K885" s="38"/>
      <c r="L885" s="244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</row>
    <row r="886">
      <c r="A886" s="38"/>
      <c r="B886" s="38"/>
      <c r="C886" s="243"/>
      <c r="D886" s="243"/>
      <c r="E886" s="38"/>
      <c r="F886" s="38"/>
      <c r="G886" s="38"/>
      <c r="H886" s="38"/>
      <c r="I886" s="38"/>
      <c r="J886" s="38"/>
      <c r="K886" s="38"/>
      <c r="L886" s="244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</row>
    <row r="887">
      <c r="A887" s="38"/>
      <c r="B887" s="38"/>
      <c r="C887" s="243"/>
      <c r="D887" s="243"/>
      <c r="E887" s="38"/>
      <c r="F887" s="38"/>
      <c r="G887" s="38"/>
      <c r="H887" s="38"/>
      <c r="I887" s="38"/>
      <c r="J887" s="38"/>
      <c r="K887" s="38"/>
      <c r="L887" s="244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</row>
    <row r="888">
      <c r="A888" s="38"/>
      <c r="B888" s="38"/>
      <c r="C888" s="243"/>
      <c r="D888" s="243"/>
      <c r="E888" s="38"/>
      <c r="F888" s="38"/>
      <c r="G888" s="38"/>
      <c r="H888" s="38"/>
      <c r="I888" s="38"/>
      <c r="J888" s="38"/>
      <c r="K888" s="38"/>
      <c r="L888" s="244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</row>
    <row r="889">
      <c r="A889" s="38"/>
      <c r="B889" s="38"/>
      <c r="C889" s="243"/>
      <c r="D889" s="243"/>
      <c r="E889" s="38"/>
      <c r="F889" s="38"/>
      <c r="G889" s="38"/>
      <c r="H889" s="38"/>
      <c r="I889" s="38"/>
      <c r="J889" s="38"/>
      <c r="K889" s="38"/>
      <c r="L889" s="244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</row>
    <row r="890">
      <c r="A890" s="38"/>
      <c r="B890" s="38"/>
      <c r="C890" s="243"/>
      <c r="D890" s="243"/>
      <c r="E890" s="38"/>
      <c r="F890" s="38"/>
      <c r="G890" s="38"/>
      <c r="H890" s="38"/>
      <c r="I890" s="38"/>
      <c r="J890" s="38"/>
      <c r="K890" s="38"/>
      <c r="L890" s="244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</row>
    <row r="891">
      <c r="A891" s="38"/>
      <c r="B891" s="38"/>
      <c r="C891" s="243"/>
      <c r="D891" s="243"/>
      <c r="E891" s="38"/>
      <c r="F891" s="38"/>
      <c r="G891" s="38"/>
      <c r="H891" s="38"/>
      <c r="I891" s="38"/>
      <c r="J891" s="38"/>
      <c r="K891" s="38"/>
      <c r="L891" s="244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</row>
    <row r="892">
      <c r="A892" s="38"/>
      <c r="B892" s="38"/>
      <c r="C892" s="243"/>
      <c r="D892" s="243"/>
      <c r="E892" s="38"/>
      <c r="F892" s="38"/>
      <c r="G892" s="38"/>
      <c r="H892" s="38"/>
      <c r="I892" s="38"/>
      <c r="J892" s="38"/>
      <c r="K892" s="38"/>
      <c r="L892" s="244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</row>
    <row r="893">
      <c r="A893" s="38"/>
      <c r="B893" s="38"/>
      <c r="C893" s="243"/>
      <c r="D893" s="243"/>
      <c r="E893" s="38"/>
      <c r="F893" s="38"/>
      <c r="G893" s="38"/>
      <c r="H893" s="38"/>
      <c r="I893" s="38"/>
      <c r="J893" s="38"/>
      <c r="K893" s="38"/>
      <c r="L893" s="244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</row>
    <row r="894">
      <c r="A894" s="38"/>
      <c r="B894" s="38"/>
      <c r="C894" s="243"/>
      <c r="D894" s="243"/>
      <c r="E894" s="38"/>
      <c r="F894" s="38"/>
      <c r="G894" s="38"/>
      <c r="H894" s="38"/>
      <c r="I894" s="38"/>
      <c r="J894" s="38"/>
      <c r="K894" s="38"/>
      <c r="L894" s="244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</row>
    <row r="895">
      <c r="A895" s="38"/>
      <c r="B895" s="38"/>
      <c r="C895" s="243"/>
      <c r="D895" s="243"/>
      <c r="E895" s="38"/>
      <c r="F895" s="38"/>
      <c r="G895" s="38"/>
      <c r="H895" s="38"/>
      <c r="I895" s="38"/>
      <c r="J895" s="38"/>
      <c r="K895" s="38"/>
      <c r="L895" s="244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</row>
    <row r="896">
      <c r="A896" s="38"/>
      <c r="B896" s="38"/>
      <c r="C896" s="243"/>
      <c r="D896" s="243"/>
      <c r="E896" s="38"/>
      <c r="F896" s="38"/>
      <c r="G896" s="38"/>
      <c r="H896" s="38"/>
      <c r="I896" s="38"/>
      <c r="J896" s="38"/>
      <c r="K896" s="38"/>
      <c r="L896" s="244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</row>
    <row r="897">
      <c r="A897" s="38"/>
      <c r="B897" s="38"/>
      <c r="C897" s="243"/>
      <c r="D897" s="243"/>
      <c r="E897" s="38"/>
      <c r="F897" s="38"/>
      <c r="G897" s="38"/>
      <c r="H897" s="38"/>
      <c r="I897" s="38"/>
      <c r="J897" s="38"/>
      <c r="K897" s="38"/>
      <c r="L897" s="244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</row>
    <row r="898">
      <c r="A898" s="38"/>
      <c r="B898" s="38"/>
      <c r="C898" s="243"/>
      <c r="D898" s="243"/>
      <c r="E898" s="38"/>
      <c r="F898" s="38"/>
      <c r="G898" s="38"/>
      <c r="H898" s="38"/>
      <c r="I898" s="38"/>
      <c r="J898" s="38"/>
      <c r="K898" s="38"/>
      <c r="L898" s="244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</row>
    <row r="899">
      <c r="A899" s="38"/>
      <c r="B899" s="38"/>
      <c r="C899" s="243"/>
      <c r="D899" s="243"/>
      <c r="E899" s="38"/>
      <c r="F899" s="38"/>
      <c r="G899" s="38"/>
      <c r="H899" s="38"/>
      <c r="I899" s="38"/>
      <c r="J899" s="38"/>
      <c r="K899" s="38"/>
      <c r="L899" s="244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</row>
    <row r="900">
      <c r="A900" s="38"/>
      <c r="B900" s="38"/>
      <c r="C900" s="243"/>
      <c r="D900" s="243"/>
      <c r="E900" s="38"/>
      <c r="F900" s="38"/>
      <c r="G900" s="38"/>
      <c r="H900" s="38"/>
      <c r="I900" s="38"/>
      <c r="J900" s="38"/>
      <c r="K900" s="38"/>
      <c r="L900" s="244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</row>
    <row r="901">
      <c r="A901" s="38"/>
      <c r="B901" s="38"/>
      <c r="C901" s="243"/>
      <c r="D901" s="243"/>
      <c r="E901" s="38"/>
      <c r="F901" s="38"/>
      <c r="G901" s="38"/>
      <c r="H901" s="38"/>
      <c r="I901" s="38"/>
      <c r="J901" s="38"/>
      <c r="K901" s="38"/>
      <c r="L901" s="244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</row>
    <row r="902">
      <c r="A902" s="38"/>
      <c r="B902" s="38"/>
      <c r="C902" s="243"/>
      <c r="D902" s="243"/>
      <c r="E902" s="38"/>
      <c r="F902" s="38"/>
      <c r="G902" s="38"/>
      <c r="H902" s="38"/>
      <c r="I902" s="38"/>
      <c r="J902" s="38"/>
      <c r="K902" s="38"/>
      <c r="L902" s="244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</row>
    <row r="903">
      <c r="A903" s="38"/>
      <c r="B903" s="38"/>
      <c r="C903" s="243"/>
      <c r="D903" s="243"/>
      <c r="E903" s="38"/>
      <c r="F903" s="38"/>
      <c r="G903" s="38"/>
      <c r="H903" s="38"/>
      <c r="I903" s="38"/>
      <c r="J903" s="38"/>
      <c r="K903" s="38"/>
      <c r="L903" s="244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</row>
    <row r="904">
      <c r="A904" s="38"/>
      <c r="B904" s="38"/>
      <c r="C904" s="243"/>
      <c r="D904" s="243"/>
      <c r="E904" s="38"/>
      <c r="F904" s="38"/>
      <c r="G904" s="38"/>
      <c r="H904" s="38"/>
      <c r="I904" s="38"/>
      <c r="J904" s="38"/>
      <c r="K904" s="38"/>
      <c r="L904" s="244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</row>
    <row r="905">
      <c r="A905" s="38"/>
      <c r="B905" s="38"/>
      <c r="C905" s="243"/>
      <c r="D905" s="243"/>
      <c r="E905" s="38"/>
      <c r="F905" s="38"/>
      <c r="G905" s="38"/>
      <c r="H905" s="38"/>
      <c r="I905" s="38"/>
      <c r="J905" s="38"/>
      <c r="K905" s="38"/>
      <c r="L905" s="244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</row>
    <row r="906">
      <c r="A906" s="38"/>
      <c r="B906" s="38"/>
      <c r="C906" s="243"/>
      <c r="D906" s="243"/>
      <c r="E906" s="38"/>
      <c r="F906" s="38"/>
      <c r="G906" s="38"/>
      <c r="H906" s="38"/>
      <c r="I906" s="38"/>
      <c r="J906" s="38"/>
      <c r="K906" s="38"/>
      <c r="L906" s="244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</row>
    <row r="907">
      <c r="A907" s="38"/>
      <c r="B907" s="38"/>
      <c r="C907" s="243"/>
      <c r="D907" s="243"/>
      <c r="E907" s="38"/>
      <c r="F907" s="38"/>
      <c r="G907" s="38"/>
      <c r="H907" s="38"/>
      <c r="I907" s="38"/>
      <c r="J907" s="38"/>
      <c r="K907" s="38"/>
      <c r="L907" s="244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</row>
    <row r="908">
      <c r="A908" s="38"/>
      <c r="B908" s="38"/>
      <c r="C908" s="243"/>
      <c r="D908" s="243"/>
      <c r="E908" s="38"/>
      <c r="F908" s="38"/>
      <c r="G908" s="38"/>
      <c r="H908" s="38"/>
      <c r="I908" s="38"/>
      <c r="J908" s="38"/>
      <c r="K908" s="38"/>
      <c r="L908" s="244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</row>
    <row r="909">
      <c r="A909" s="38"/>
      <c r="B909" s="38"/>
      <c r="C909" s="243"/>
      <c r="D909" s="243"/>
      <c r="E909" s="38"/>
      <c r="F909" s="38"/>
      <c r="G909" s="38"/>
      <c r="H909" s="38"/>
      <c r="I909" s="38"/>
      <c r="J909" s="38"/>
      <c r="K909" s="38"/>
      <c r="L909" s="244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</row>
    <row r="910">
      <c r="A910" s="38"/>
      <c r="B910" s="38"/>
      <c r="C910" s="243"/>
      <c r="D910" s="243"/>
      <c r="E910" s="38"/>
      <c r="F910" s="38"/>
      <c r="G910" s="38"/>
      <c r="H910" s="38"/>
      <c r="I910" s="38"/>
      <c r="J910" s="38"/>
      <c r="K910" s="38"/>
      <c r="L910" s="244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</row>
    <row r="911">
      <c r="A911" s="38"/>
      <c r="B911" s="38"/>
      <c r="C911" s="243"/>
      <c r="D911" s="243"/>
      <c r="E911" s="38"/>
      <c r="F911" s="38"/>
      <c r="G911" s="38"/>
      <c r="H911" s="38"/>
      <c r="I911" s="38"/>
      <c r="J911" s="38"/>
      <c r="K911" s="38"/>
      <c r="L911" s="244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</row>
    <row r="912">
      <c r="A912" s="38"/>
      <c r="B912" s="38"/>
      <c r="C912" s="243"/>
      <c r="D912" s="243"/>
      <c r="E912" s="38"/>
      <c r="F912" s="38"/>
      <c r="G912" s="38"/>
      <c r="H912" s="38"/>
      <c r="I912" s="38"/>
      <c r="J912" s="38"/>
      <c r="K912" s="38"/>
      <c r="L912" s="244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</row>
    <row r="913">
      <c r="A913" s="38"/>
      <c r="B913" s="38"/>
      <c r="C913" s="243"/>
      <c r="D913" s="243"/>
      <c r="E913" s="38"/>
      <c r="F913" s="38"/>
      <c r="G913" s="38"/>
      <c r="H913" s="38"/>
      <c r="I913" s="38"/>
      <c r="J913" s="38"/>
      <c r="K913" s="38"/>
      <c r="L913" s="244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</row>
    <row r="914">
      <c r="A914" s="38"/>
      <c r="B914" s="38"/>
      <c r="C914" s="243"/>
      <c r="D914" s="243"/>
      <c r="E914" s="38"/>
      <c r="F914" s="38"/>
      <c r="G914" s="38"/>
      <c r="H914" s="38"/>
      <c r="I914" s="38"/>
      <c r="J914" s="38"/>
      <c r="K914" s="38"/>
      <c r="L914" s="244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</row>
    <row r="915">
      <c r="A915" s="38"/>
      <c r="B915" s="38"/>
      <c r="C915" s="243"/>
      <c r="D915" s="243"/>
      <c r="E915" s="38"/>
      <c r="F915" s="38"/>
      <c r="G915" s="38"/>
      <c r="H915" s="38"/>
      <c r="I915" s="38"/>
      <c r="J915" s="38"/>
      <c r="K915" s="38"/>
      <c r="L915" s="244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</row>
    <row r="916">
      <c r="A916" s="38"/>
      <c r="B916" s="38"/>
      <c r="C916" s="243"/>
      <c r="D916" s="243"/>
      <c r="E916" s="38"/>
      <c r="F916" s="38"/>
      <c r="G916" s="38"/>
      <c r="H916" s="38"/>
      <c r="I916" s="38"/>
      <c r="J916" s="38"/>
      <c r="K916" s="38"/>
      <c r="L916" s="244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</row>
    <row r="917">
      <c r="A917" s="38"/>
      <c r="B917" s="38"/>
      <c r="C917" s="243"/>
      <c r="D917" s="243"/>
      <c r="E917" s="38"/>
      <c r="F917" s="38"/>
      <c r="G917" s="38"/>
      <c r="H917" s="38"/>
      <c r="I917" s="38"/>
      <c r="J917" s="38"/>
      <c r="K917" s="38"/>
      <c r="L917" s="244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</row>
    <row r="918">
      <c r="A918" s="38"/>
      <c r="B918" s="38"/>
      <c r="C918" s="243"/>
      <c r="D918" s="243"/>
      <c r="E918" s="38"/>
      <c r="F918" s="38"/>
      <c r="G918" s="38"/>
      <c r="H918" s="38"/>
      <c r="I918" s="38"/>
      <c r="J918" s="38"/>
      <c r="K918" s="38"/>
      <c r="L918" s="244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</row>
    <row r="919">
      <c r="A919" s="38"/>
      <c r="B919" s="38"/>
      <c r="C919" s="243"/>
      <c r="D919" s="243"/>
      <c r="E919" s="38"/>
      <c r="F919" s="38"/>
      <c r="G919" s="38"/>
      <c r="H919" s="38"/>
      <c r="I919" s="38"/>
      <c r="J919" s="38"/>
      <c r="K919" s="38"/>
      <c r="L919" s="244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</row>
    <row r="920">
      <c r="A920" s="38"/>
      <c r="B920" s="38"/>
      <c r="C920" s="243"/>
      <c r="D920" s="243"/>
      <c r="E920" s="38"/>
      <c r="F920" s="38"/>
      <c r="G920" s="38"/>
      <c r="H920" s="38"/>
      <c r="I920" s="38"/>
      <c r="J920" s="38"/>
      <c r="K920" s="38"/>
      <c r="L920" s="244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</row>
    <row r="921">
      <c r="A921" s="38"/>
      <c r="B921" s="38"/>
      <c r="C921" s="243"/>
      <c r="D921" s="243"/>
      <c r="E921" s="38"/>
      <c r="F921" s="38"/>
      <c r="G921" s="38"/>
      <c r="H921" s="38"/>
      <c r="I921" s="38"/>
      <c r="J921" s="38"/>
      <c r="K921" s="38"/>
      <c r="L921" s="244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</row>
    <row r="922">
      <c r="A922" s="38"/>
      <c r="B922" s="38"/>
      <c r="C922" s="243"/>
      <c r="D922" s="243"/>
      <c r="E922" s="38"/>
      <c r="F922" s="38"/>
      <c r="G922" s="38"/>
      <c r="H922" s="38"/>
      <c r="I922" s="38"/>
      <c r="J922" s="38"/>
      <c r="K922" s="38"/>
      <c r="L922" s="244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</row>
    <row r="923">
      <c r="A923" s="38"/>
      <c r="B923" s="38"/>
      <c r="C923" s="243"/>
      <c r="D923" s="243"/>
      <c r="E923" s="38"/>
      <c r="F923" s="38"/>
      <c r="G923" s="38"/>
      <c r="H923" s="38"/>
      <c r="I923" s="38"/>
      <c r="J923" s="38"/>
      <c r="K923" s="38"/>
      <c r="L923" s="244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</row>
    <row r="924">
      <c r="A924" s="38"/>
      <c r="B924" s="38"/>
      <c r="C924" s="243"/>
      <c r="D924" s="243"/>
      <c r="E924" s="38"/>
      <c r="F924" s="38"/>
      <c r="G924" s="38"/>
      <c r="H924" s="38"/>
      <c r="I924" s="38"/>
      <c r="J924" s="38"/>
      <c r="K924" s="38"/>
      <c r="L924" s="244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</row>
    <row r="925">
      <c r="A925" s="38"/>
      <c r="B925" s="38"/>
      <c r="C925" s="243"/>
      <c r="D925" s="243"/>
      <c r="E925" s="38"/>
      <c r="F925" s="38"/>
      <c r="G925" s="38"/>
      <c r="H925" s="38"/>
      <c r="I925" s="38"/>
      <c r="J925" s="38"/>
      <c r="K925" s="38"/>
      <c r="L925" s="244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</row>
    <row r="926">
      <c r="A926" s="38"/>
      <c r="B926" s="38"/>
      <c r="C926" s="243"/>
      <c r="D926" s="243"/>
      <c r="E926" s="38"/>
      <c r="F926" s="38"/>
      <c r="G926" s="38"/>
      <c r="H926" s="38"/>
      <c r="I926" s="38"/>
      <c r="J926" s="38"/>
      <c r="K926" s="38"/>
      <c r="L926" s="244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</row>
    <row r="927">
      <c r="A927" s="38"/>
      <c r="B927" s="38"/>
      <c r="C927" s="243"/>
      <c r="D927" s="243"/>
      <c r="E927" s="38"/>
      <c r="F927" s="38"/>
      <c r="G927" s="38"/>
      <c r="H927" s="38"/>
      <c r="I927" s="38"/>
      <c r="J927" s="38"/>
      <c r="K927" s="38"/>
      <c r="L927" s="244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</row>
    <row r="928">
      <c r="A928" s="38"/>
      <c r="B928" s="38"/>
      <c r="C928" s="243"/>
      <c r="D928" s="243"/>
      <c r="E928" s="38"/>
      <c r="F928" s="38"/>
      <c r="G928" s="38"/>
      <c r="H928" s="38"/>
      <c r="I928" s="38"/>
      <c r="J928" s="38"/>
      <c r="K928" s="38"/>
      <c r="L928" s="244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</row>
    <row r="929">
      <c r="A929" s="38"/>
      <c r="B929" s="38"/>
      <c r="C929" s="243"/>
      <c r="D929" s="243"/>
      <c r="E929" s="38"/>
      <c r="F929" s="38"/>
      <c r="G929" s="38"/>
      <c r="H929" s="38"/>
      <c r="I929" s="38"/>
      <c r="J929" s="38"/>
      <c r="K929" s="38"/>
      <c r="L929" s="244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</row>
    <row r="930">
      <c r="A930" s="38"/>
      <c r="B930" s="38"/>
      <c r="C930" s="243"/>
      <c r="D930" s="243"/>
      <c r="E930" s="38"/>
      <c r="F930" s="38"/>
      <c r="G930" s="38"/>
      <c r="H930" s="38"/>
      <c r="I930" s="38"/>
      <c r="J930" s="38"/>
      <c r="K930" s="38"/>
      <c r="L930" s="244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</row>
    <row r="931">
      <c r="A931" s="38"/>
      <c r="B931" s="38"/>
      <c r="C931" s="243"/>
      <c r="D931" s="243"/>
      <c r="E931" s="38"/>
      <c r="F931" s="38"/>
      <c r="G931" s="38"/>
      <c r="H931" s="38"/>
      <c r="I931" s="38"/>
      <c r="J931" s="38"/>
      <c r="K931" s="38"/>
      <c r="L931" s="244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</row>
    <row r="932">
      <c r="A932" s="38"/>
      <c r="B932" s="38"/>
      <c r="C932" s="243"/>
      <c r="D932" s="243"/>
      <c r="E932" s="38"/>
      <c r="F932" s="38"/>
      <c r="G932" s="38"/>
      <c r="H932" s="38"/>
      <c r="I932" s="38"/>
      <c r="J932" s="38"/>
      <c r="K932" s="38"/>
      <c r="L932" s="244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</row>
    <row r="933">
      <c r="A933" s="38"/>
      <c r="B933" s="38"/>
      <c r="C933" s="243"/>
      <c r="D933" s="243"/>
      <c r="E933" s="38"/>
      <c r="F933" s="38"/>
      <c r="G933" s="38"/>
      <c r="H933" s="38"/>
      <c r="I933" s="38"/>
      <c r="J933" s="38"/>
      <c r="K933" s="38"/>
      <c r="L933" s="244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</row>
    <row r="934">
      <c r="A934" s="38"/>
      <c r="B934" s="38"/>
      <c r="C934" s="243"/>
      <c r="D934" s="243"/>
      <c r="E934" s="38"/>
      <c r="F934" s="38"/>
      <c r="G934" s="38"/>
      <c r="H934" s="38"/>
      <c r="I934" s="38"/>
      <c r="J934" s="38"/>
      <c r="K934" s="38"/>
      <c r="L934" s="244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</row>
    <row r="935">
      <c r="A935" s="38"/>
      <c r="B935" s="38"/>
      <c r="C935" s="243"/>
      <c r="D935" s="243"/>
      <c r="E935" s="38"/>
      <c r="F935" s="38"/>
      <c r="G935" s="38"/>
      <c r="H935" s="38"/>
      <c r="I935" s="38"/>
      <c r="J935" s="38"/>
      <c r="K935" s="38"/>
      <c r="L935" s="244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</row>
    <row r="936">
      <c r="A936" s="38"/>
      <c r="B936" s="38"/>
      <c r="C936" s="243"/>
      <c r="D936" s="243"/>
      <c r="E936" s="38"/>
      <c r="F936" s="38"/>
      <c r="G936" s="38"/>
      <c r="H936" s="38"/>
      <c r="I936" s="38"/>
      <c r="J936" s="38"/>
      <c r="K936" s="38"/>
      <c r="L936" s="244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</row>
    <row r="937">
      <c r="A937" s="38"/>
      <c r="B937" s="38"/>
      <c r="C937" s="243"/>
      <c r="D937" s="243"/>
      <c r="E937" s="38"/>
      <c r="F937" s="38"/>
      <c r="G937" s="38"/>
      <c r="H937" s="38"/>
      <c r="I937" s="38"/>
      <c r="J937" s="38"/>
      <c r="K937" s="38"/>
      <c r="L937" s="244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</row>
    <row r="938">
      <c r="A938" s="38"/>
      <c r="B938" s="38"/>
      <c r="C938" s="243"/>
      <c r="D938" s="243"/>
      <c r="E938" s="38"/>
      <c r="F938" s="38"/>
      <c r="G938" s="38"/>
      <c r="H938" s="38"/>
      <c r="I938" s="38"/>
      <c r="J938" s="38"/>
      <c r="K938" s="38"/>
      <c r="L938" s="244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</row>
    <row r="939">
      <c r="A939" s="38"/>
      <c r="B939" s="38"/>
      <c r="C939" s="243"/>
      <c r="D939" s="243"/>
      <c r="E939" s="38"/>
      <c r="F939" s="38"/>
      <c r="G939" s="38"/>
      <c r="H939" s="38"/>
      <c r="I939" s="38"/>
      <c r="J939" s="38"/>
      <c r="K939" s="38"/>
      <c r="L939" s="244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</row>
    <row r="940">
      <c r="A940" s="38"/>
      <c r="B940" s="38"/>
      <c r="C940" s="243"/>
      <c r="D940" s="243"/>
      <c r="E940" s="38"/>
      <c r="F940" s="38"/>
      <c r="G940" s="38"/>
      <c r="H940" s="38"/>
      <c r="I940" s="38"/>
      <c r="J940" s="38"/>
      <c r="K940" s="38"/>
      <c r="L940" s="244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</row>
    <row r="941">
      <c r="A941" s="38"/>
      <c r="B941" s="38"/>
      <c r="C941" s="243"/>
      <c r="D941" s="243"/>
      <c r="E941" s="38"/>
      <c r="F941" s="38"/>
      <c r="G941" s="38"/>
      <c r="H941" s="38"/>
      <c r="I941" s="38"/>
      <c r="J941" s="38"/>
      <c r="K941" s="38"/>
      <c r="L941" s="244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</row>
    <row r="942">
      <c r="A942" s="38"/>
      <c r="B942" s="38"/>
      <c r="C942" s="243"/>
      <c r="D942" s="243"/>
      <c r="E942" s="38"/>
      <c r="F942" s="38"/>
      <c r="G942" s="38"/>
      <c r="H942" s="38"/>
      <c r="I942" s="38"/>
      <c r="J942" s="38"/>
      <c r="K942" s="38"/>
      <c r="L942" s="244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</row>
    <row r="943">
      <c r="A943" s="38"/>
      <c r="B943" s="38"/>
      <c r="C943" s="243"/>
      <c r="D943" s="243"/>
      <c r="E943" s="38"/>
      <c r="F943" s="38"/>
      <c r="G943" s="38"/>
      <c r="H943" s="38"/>
      <c r="I943" s="38"/>
      <c r="J943" s="38"/>
      <c r="K943" s="38"/>
      <c r="L943" s="244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</row>
    <row r="944">
      <c r="A944" s="38"/>
      <c r="B944" s="38"/>
      <c r="C944" s="243"/>
      <c r="D944" s="243"/>
      <c r="E944" s="38"/>
      <c r="F944" s="38"/>
      <c r="G944" s="38"/>
      <c r="H944" s="38"/>
      <c r="I944" s="38"/>
      <c r="J944" s="38"/>
      <c r="K944" s="38"/>
      <c r="L944" s="244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</row>
    <row r="945">
      <c r="A945" s="38"/>
      <c r="B945" s="38"/>
      <c r="C945" s="243"/>
      <c r="D945" s="243"/>
      <c r="E945" s="38"/>
      <c r="F945" s="38"/>
      <c r="G945" s="38"/>
      <c r="H945" s="38"/>
      <c r="I945" s="38"/>
      <c r="J945" s="38"/>
      <c r="K945" s="38"/>
      <c r="L945" s="244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</row>
    <row r="946">
      <c r="A946" s="38"/>
      <c r="B946" s="38"/>
      <c r="C946" s="243"/>
      <c r="D946" s="243"/>
      <c r="E946" s="38"/>
      <c r="F946" s="38"/>
      <c r="G946" s="38"/>
      <c r="H946" s="38"/>
      <c r="I946" s="38"/>
      <c r="J946" s="38"/>
      <c r="K946" s="38"/>
      <c r="L946" s="244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</row>
    <row r="947">
      <c r="A947" s="38"/>
      <c r="B947" s="38"/>
      <c r="C947" s="243"/>
      <c r="D947" s="243"/>
      <c r="E947" s="38"/>
      <c r="F947" s="38"/>
      <c r="G947" s="38"/>
      <c r="H947" s="38"/>
      <c r="I947" s="38"/>
      <c r="J947" s="38"/>
      <c r="K947" s="38"/>
      <c r="L947" s="244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</row>
    <row r="948">
      <c r="A948" s="38"/>
      <c r="B948" s="38"/>
      <c r="C948" s="243"/>
      <c r="D948" s="243"/>
      <c r="E948" s="38"/>
      <c r="F948" s="38"/>
      <c r="G948" s="38"/>
      <c r="H948" s="38"/>
      <c r="I948" s="38"/>
      <c r="J948" s="38"/>
      <c r="K948" s="38"/>
      <c r="L948" s="244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</row>
    <row r="949">
      <c r="A949" s="38"/>
      <c r="B949" s="38"/>
      <c r="C949" s="243"/>
      <c r="D949" s="243"/>
      <c r="E949" s="38"/>
      <c r="F949" s="38"/>
      <c r="G949" s="38"/>
      <c r="H949" s="38"/>
      <c r="I949" s="38"/>
      <c r="J949" s="38"/>
      <c r="K949" s="38"/>
      <c r="L949" s="244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</row>
    <row r="950">
      <c r="A950" s="38"/>
      <c r="B950" s="38"/>
      <c r="C950" s="243"/>
      <c r="D950" s="243"/>
      <c r="E950" s="38"/>
      <c r="F950" s="38"/>
      <c r="G950" s="38"/>
      <c r="H950" s="38"/>
      <c r="I950" s="38"/>
      <c r="J950" s="38"/>
      <c r="K950" s="38"/>
      <c r="L950" s="244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</row>
    <row r="951">
      <c r="A951" s="38"/>
      <c r="B951" s="38"/>
      <c r="C951" s="243"/>
      <c r="D951" s="243"/>
      <c r="E951" s="38"/>
      <c r="F951" s="38"/>
      <c r="G951" s="38"/>
      <c r="H951" s="38"/>
      <c r="I951" s="38"/>
      <c r="J951" s="38"/>
      <c r="K951" s="38"/>
      <c r="L951" s="244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</row>
    <row r="952">
      <c r="A952" s="38"/>
      <c r="B952" s="38"/>
      <c r="C952" s="243"/>
      <c r="D952" s="243"/>
      <c r="E952" s="38"/>
      <c r="F952" s="38"/>
      <c r="G952" s="38"/>
      <c r="H952" s="38"/>
      <c r="I952" s="38"/>
      <c r="J952" s="38"/>
      <c r="K952" s="38"/>
      <c r="L952" s="244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</row>
  </sheetData>
  <mergeCells count="1">
    <mergeCell ref="A1:P1"/>
  </mergeCells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20.63"/>
    <col customWidth="1" min="3" max="3" width="16.5"/>
    <col customWidth="1" min="4" max="4" width="4.0"/>
    <col customWidth="1" min="5" max="5" width="6.13"/>
    <col customWidth="1" min="6" max="6" width="6.25"/>
    <col customWidth="1" min="7" max="7" width="3.0"/>
    <col customWidth="1" min="8" max="9" width="2.88"/>
    <col customWidth="1" min="10" max="10" width="3.63"/>
    <col customWidth="1" min="11" max="11" width="6.5"/>
    <col customWidth="1" min="12" max="12" width="10.75"/>
    <col customWidth="1" min="13" max="13" width="8.13"/>
    <col customWidth="1" min="14" max="15" width="7.63"/>
    <col customWidth="1" min="16" max="16" width="77.38"/>
    <col customWidth="1" min="18" max="18" width="2.88"/>
  </cols>
  <sheetData>
    <row r="1">
      <c r="A1" s="6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8" t="s">
        <v>2</v>
      </c>
      <c r="B2" s="18" t="s">
        <v>4</v>
      </c>
      <c r="C2" s="18" t="s">
        <v>3</v>
      </c>
      <c r="D2" s="18" t="s">
        <v>5</v>
      </c>
      <c r="E2" s="18" t="s">
        <v>8</v>
      </c>
      <c r="F2" s="18" t="s">
        <v>6</v>
      </c>
      <c r="G2" s="18" t="s">
        <v>32</v>
      </c>
      <c r="H2" s="18" t="s">
        <v>35</v>
      </c>
      <c r="I2" s="18" t="s">
        <v>36</v>
      </c>
      <c r="J2" s="18" t="s">
        <v>37</v>
      </c>
      <c r="K2" s="18" t="s">
        <v>38</v>
      </c>
      <c r="L2" s="23" t="s">
        <v>26</v>
      </c>
      <c r="M2" s="18" t="s">
        <v>31</v>
      </c>
      <c r="N2" s="18" t="s">
        <v>33</v>
      </c>
      <c r="O2" s="18" t="s">
        <v>34</v>
      </c>
      <c r="P2" s="18" t="s">
        <v>30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30">
        <v>1.0</v>
      </c>
      <c r="B3" s="32" t="s">
        <v>45</v>
      </c>
      <c r="C3" s="35" t="s">
        <v>46</v>
      </c>
      <c r="D3" s="35">
        <v>26.0</v>
      </c>
      <c r="E3" s="32" t="s">
        <v>48</v>
      </c>
      <c r="F3" s="32" t="s">
        <v>49</v>
      </c>
      <c r="G3" s="35">
        <v>84.0</v>
      </c>
      <c r="H3" s="35">
        <v>21.0</v>
      </c>
      <c r="I3" s="35">
        <v>78.0</v>
      </c>
      <c r="J3" s="35">
        <f t="shared" ref="J3:J36" si="1">H3+I3</f>
        <v>99</v>
      </c>
      <c r="K3" s="50">
        <f t="shared" ref="K3:K36" si="2">J3/G3</f>
        <v>1.178571429</v>
      </c>
      <c r="L3" s="52">
        <v>1.05E7</v>
      </c>
      <c r="M3" s="54"/>
      <c r="N3" s="54"/>
      <c r="O3" s="30">
        <v>110.0</v>
      </c>
      <c r="P3" s="30" t="s">
        <v>52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30">
        <v>2.0</v>
      </c>
      <c r="B4" s="32" t="s">
        <v>53</v>
      </c>
      <c r="C4" s="35" t="s">
        <v>46</v>
      </c>
      <c r="D4" s="35">
        <v>26.0</v>
      </c>
      <c r="E4" s="32" t="s">
        <v>48</v>
      </c>
      <c r="F4" s="32" t="s">
        <v>54</v>
      </c>
      <c r="G4" s="35">
        <v>78.0</v>
      </c>
      <c r="H4" s="35">
        <v>17.0</v>
      </c>
      <c r="I4" s="35">
        <v>72.0</v>
      </c>
      <c r="J4" s="35">
        <f t="shared" si="1"/>
        <v>89</v>
      </c>
      <c r="K4" s="50">
        <f t="shared" si="2"/>
        <v>1.141025641</v>
      </c>
      <c r="L4" s="52">
        <v>7850000.0</v>
      </c>
      <c r="M4" s="54"/>
      <c r="N4" s="54"/>
      <c r="O4" s="30">
        <v>100.0</v>
      </c>
      <c r="P4" s="30" t="s">
        <v>58</v>
      </c>
      <c r="Q4" s="12"/>
      <c r="R4" s="62">
        <v>1.0</v>
      </c>
      <c r="S4" s="64" t="s">
        <v>60</v>
      </c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30">
        <v>3.0</v>
      </c>
      <c r="B5" s="32" t="s">
        <v>62</v>
      </c>
      <c r="C5" s="35" t="s">
        <v>46</v>
      </c>
      <c r="D5" s="35">
        <v>27.0</v>
      </c>
      <c r="E5" s="32" t="s">
        <v>48</v>
      </c>
      <c r="F5" s="32" t="s">
        <v>64</v>
      </c>
      <c r="G5" s="35">
        <v>78.0</v>
      </c>
      <c r="H5" s="35">
        <v>22.0</v>
      </c>
      <c r="I5" s="35">
        <v>64.0</v>
      </c>
      <c r="J5" s="35">
        <f t="shared" si="1"/>
        <v>86</v>
      </c>
      <c r="K5" s="50">
        <f t="shared" si="2"/>
        <v>1.102564103</v>
      </c>
      <c r="L5" s="52">
        <v>9000000.0</v>
      </c>
      <c r="M5" s="54"/>
      <c r="N5" s="54"/>
      <c r="O5" s="30">
        <v>100.0</v>
      </c>
      <c r="P5" s="30" t="s">
        <v>66</v>
      </c>
      <c r="Q5" s="12"/>
      <c r="R5" s="62">
        <v>2.0</v>
      </c>
      <c r="S5" s="64" t="s">
        <v>67</v>
      </c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67">
        <v>4.0</v>
      </c>
      <c r="B6" s="68" t="s">
        <v>70</v>
      </c>
      <c r="C6" s="69" t="s">
        <v>46</v>
      </c>
      <c r="D6" s="69">
        <v>29.0</v>
      </c>
      <c r="E6" s="68" t="s">
        <v>48</v>
      </c>
      <c r="F6" s="68" t="s">
        <v>73</v>
      </c>
      <c r="G6" s="69">
        <v>76.0</v>
      </c>
      <c r="H6" s="69">
        <v>20.0</v>
      </c>
      <c r="I6" s="69">
        <v>63.0</v>
      </c>
      <c r="J6" s="69">
        <f t="shared" si="1"/>
        <v>83</v>
      </c>
      <c r="K6" s="71">
        <f t="shared" si="2"/>
        <v>1.092105263</v>
      </c>
      <c r="L6" s="73">
        <v>9583334.0</v>
      </c>
      <c r="M6" s="67" t="s">
        <v>77</v>
      </c>
      <c r="N6" s="74"/>
      <c r="O6" s="67">
        <v>90.0</v>
      </c>
      <c r="P6" s="67" t="s">
        <v>80</v>
      </c>
      <c r="Q6" s="12"/>
      <c r="R6" s="62">
        <v>3.0</v>
      </c>
      <c r="S6" s="64" t="s">
        <v>82</v>
      </c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67">
        <v>5.0</v>
      </c>
      <c r="B7" s="67" t="s">
        <v>85</v>
      </c>
      <c r="C7" s="69" t="s">
        <v>86</v>
      </c>
      <c r="D7" s="67">
        <v>28.0</v>
      </c>
      <c r="E7" s="67" t="s">
        <v>48</v>
      </c>
      <c r="F7" s="67" t="s">
        <v>88</v>
      </c>
      <c r="G7" s="67">
        <v>70.0</v>
      </c>
      <c r="H7" s="67">
        <v>10.0</v>
      </c>
      <c r="I7" s="67">
        <v>60.0</v>
      </c>
      <c r="J7" s="67">
        <f t="shared" si="1"/>
        <v>70</v>
      </c>
      <c r="K7" s="71">
        <f t="shared" si="2"/>
        <v>1</v>
      </c>
      <c r="L7" s="73">
        <v>9500000.0</v>
      </c>
      <c r="M7" s="67" t="s">
        <v>77</v>
      </c>
      <c r="N7" s="74"/>
      <c r="O7" s="67">
        <v>80.0</v>
      </c>
      <c r="P7" s="67" t="s">
        <v>92</v>
      </c>
      <c r="Q7" s="12"/>
      <c r="R7" s="62">
        <v>4.0</v>
      </c>
      <c r="S7" s="64" t="s">
        <v>93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67">
        <v>6.0</v>
      </c>
      <c r="B8" s="68" t="s">
        <v>97</v>
      </c>
      <c r="C8" s="69" t="s">
        <v>86</v>
      </c>
      <c r="D8" s="69">
        <v>26.0</v>
      </c>
      <c r="E8" s="68" t="s">
        <v>48</v>
      </c>
      <c r="F8" s="68" t="s">
        <v>98</v>
      </c>
      <c r="G8" s="69">
        <v>80.0</v>
      </c>
      <c r="H8" s="69">
        <v>18.0</v>
      </c>
      <c r="I8" s="69">
        <v>61.0</v>
      </c>
      <c r="J8" s="69">
        <f t="shared" si="1"/>
        <v>79</v>
      </c>
      <c r="K8" s="71">
        <f t="shared" si="2"/>
        <v>0.9875</v>
      </c>
      <c r="L8" s="73">
        <v>1.1E7</v>
      </c>
      <c r="M8" s="74"/>
      <c r="N8" s="74"/>
      <c r="O8" s="67">
        <v>85.0</v>
      </c>
      <c r="P8" s="67" t="s">
        <v>102</v>
      </c>
      <c r="Q8" s="12"/>
      <c r="R8" s="62">
        <v>5.0</v>
      </c>
      <c r="S8" s="64" t="s">
        <v>105</v>
      </c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67">
        <v>7.0</v>
      </c>
      <c r="B9" s="68" t="s">
        <v>107</v>
      </c>
      <c r="C9" s="69" t="s">
        <v>86</v>
      </c>
      <c r="D9" s="69">
        <v>22.0</v>
      </c>
      <c r="E9" s="68" t="s">
        <v>48</v>
      </c>
      <c r="F9" s="68" t="s">
        <v>109</v>
      </c>
      <c r="G9" s="69">
        <v>84.0</v>
      </c>
      <c r="H9" s="69">
        <v>10.0</v>
      </c>
      <c r="I9" s="69">
        <v>72.0</v>
      </c>
      <c r="J9" s="69">
        <f t="shared" si="1"/>
        <v>82</v>
      </c>
      <c r="K9" s="71">
        <f t="shared" si="2"/>
        <v>0.9761904762</v>
      </c>
      <c r="L9" s="73">
        <v>8850000.0</v>
      </c>
      <c r="M9" s="74"/>
      <c r="N9" s="74"/>
      <c r="O9" s="67">
        <v>90.0</v>
      </c>
      <c r="P9" s="67" t="s">
        <v>115</v>
      </c>
      <c r="Q9" s="12"/>
      <c r="R9" s="62">
        <v>6.0</v>
      </c>
      <c r="S9" s="64" t="s">
        <v>116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67">
        <v>8.0</v>
      </c>
      <c r="B10" s="67" t="s">
        <v>120</v>
      </c>
      <c r="C10" s="69" t="s">
        <v>121</v>
      </c>
      <c r="D10" s="67">
        <v>24.0</v>
      </c>
      <c r="E10" s="67" t="s">
        <v>48</v>
      </c>
      <c r="F10" s="67" t="s">
        <v>122</v>
      </c>
      <c r="G10" s="67">
        <v>76.0</v>
      </c>
      <c r="H10" s="67">
        <v>11.0</v>
      </c>
      <c r="I10" s="67">
        <v>53.0</v>
      </c>
      <c r="J10" s="67">
        <f t="shared" si="1"/>
        <v>64</v>
      </c>
      <c r="K10" s="71">
        <f t="shared" si="2"/>
        <v>0.8421052632</v>
      </c>
      <c r="L10" s="73">
        <v>8050000.0</v>
      </c>
      <c r="M10" s="74"/>
      <c r="N10" s="74"/>
      <c r="O10" s="67">
        <v>75.0</v>
      </c>
      <c r="P10" s="67" t="s">
        <v>128</v>
      </c>
      <c r="Q10" s="12"/>
      <c r="R10" s="62">
        <v>7.0</v>
      </c>
      <c r="S10" s="64" t="s">
        <v>129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67">
        <v>9.0</v>
      </c>
      <c r="B11" s="68" t="s">
        <v>131</v>
      </c>
      <c r="C11" s="69" t="s">
        <v>121</v>
      </c>
      <c r="D11" s="69">
        <v>25.0</v>
      </c>
      <c r="E11" s="68" t="s">
        <v>48</v>
      </c>
      <c r="F11" s="68" t="s">
        <v>114</v>
      </c>
      <c r="G11" s="69">
        <v>84.0</v>
      </c>
      <c r="H11" s="69">
        <v>12.0</v>
      </c>
      <c r="I11" s="69">
        <v>55.0</v>
      </c>
      <c r="J11" s="69">
        <f t="shared" si="1"/>
        <v>67</v>
      </c>
      <c r="K11" s="71">
        <f t="shared" si="2"/>
        <v>0.7976190476</v>
      </c>
      <c r="L11" s="73">
        <v>8550000.0</v>
      </c>
      <c r="M11" s="74"/>
      <c r="N11" s="74"/>
      <c r="O11" s="67">
        <v>75.0</v>
      </c>
      <c r="P11" s="67" t="s">
        <v>135</v>
      </c>
      <c r="Q11" s="12"/>
      <c r="R11" s="62">
        <v>8.0</v>
      </c>
      <c r="S11" s="64" t="s">
        <v>136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67">
        <v>10.0</v>
      </c>
      <c r="B12" s="68" t="s">
        <v>137</v>
      </c>
      <c r="C12" s="69" t="s">
        <v>121</v>
      </c>
      <c r="D12" s="69">
        <v>27.0</v>
      </c>
      <c r="E12" s="68" t="s">
        <v>48</v>
      </c>
      <c r="F12" s="68" t="s">
        <v>43</v>
      </c>
      <c r="G12" s="69">
        <v>74.0</v>
      </c>
      <c r="H12" s="69">
        <v>8.0</v>
      </c>
      <c r="I12" s="69">
        <v>51.0</v>
      </c>
      <c r="J12" s="69">
        <f t="shared" si="1"/>
        <v>59</v>
      </c>
      <c r="K12" s="71">
        <f t="shared" si="2"/>
        <v>0.7972972973</v>
      </c>
      <c r="L12" s="73">
        <v>8450000.0</v>
      </c>
      <c r="M12" s="67" t="s">
        <v>77</v>
      </c>
      <c r="N12" s="74"/>
      <c r="O12" s="67">
        <v>70.0</v>
      </c>
      <c r="P12" s="67" t="s">
        <v>141</v>
      </c>
      <c r="Q12" s="12"/>
      <c r="R12" s="62">
        <v>9.0</v>
      </c>
      <c r="S12" s="64" t="s">
        <v>144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67">
        <v>11.0</v>
      </c>
      <c r="B13" s="67" t="s">
        <v>146</v>
      </c>
      <c r="C13" s="69" t="s">
        <v>121</v>
      </c>
      <c r="D13" s="67">
        <v>30.0</v>
      </c>
      <c r="E13" s="67" t="s">
        <v>48</v>
      </c>
      <c r="F13" s="67" t="s">
        <v>65</v>
      </c>
      <c r="G13" s="67">
        <v>84.0</v>
      </c>
      <c r="H13" s="67">
        <v>17.0</v>
      </c>
      <c r="I13" s="67">
        <v>49.0</v>
      </c>
      <c r="J13" s="67">
        <f t="shared" si="1"/>
        <v>66</v>
      </c>
      <c r="K13" s="71">
        <f t="shared" si="2"/>
        <v>0.7857142857</v>
      </c>
      <c r="L13" s="73">
        <v>986250.0</v>
      </c>
      <c r="M13" s="67"/>
      <c r="N13" s="74"/>
      <c r="O13" s="67">
        <v>80.0</v>
      </c>
      <c r="P13" s="67" t="s">
        <v>149</v>
      </c>
      <c r="Q13" s="12"/>
      <c r="R13" s="62">
        <v>10.0</v>
      </c>
      <c r="S13" s="64" t="s">
        <v>150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67">
        <v>12.0</v>
      </c>
      <c r="B14" s="68" t="s">
        <v>154</v>
      </c>
      <c r="C14" s="69" t="s">
        <v>121</v>
      </c>
      <c r="D14" s="69">
        <v>28.0</v>
      </c>
      <c r="E14" s="68" t="s">
        <v>48</v>
      </c>
      <c r="F14" s="68" t="s">
        <v>83</v>
      </c>
      <c r="G14" s="69">
        <v>70.0</v>
      </c>
      <c r="H14" s="69">
        <v>10.0</v>
      </c>
      <c r="I14" s="69">
        <v>44.0</v>
      </c>
      <c r="J14" s="69">
        <f t="shared" si="1"/>
        <v>54</v>
      </c>
      <c r="K14" s="71">
        <f t="shared" si="2"/>
        <v>0.7714285714</v>
      </c>
      <c r="L14" s="73">
        <v>9500000.0</v>
      </c>
      <c r="M14" s="67" t="s">
        <v>77</v>
      </c>
      <c r="N14" s="74"/>
      <c r="O14" s="67">
        <v>70.0</v>
      </c>
      <c r="P14" s="67" t="s">
        <v>160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67">
        <v>13.0</v>
      </c>
      <c r="B15" s="67" t="s">
        <v>164</v>
      </c>
      <c r="C15" s="69" t="s">
        <v>121</v>
      </c>
      <c r="D15" s="67">
        <v>31.0</v>
      </c>
      <c r="E15" s="67" t="s">
        <v>48</v>
      </c>
      <c r="F15" s="67" t="s">
        <v>71</v>
      </c>
      <c r="G15" s="67">
        <v>80.0</v>
      </c>
      <c r="H15" s="67">
        <v>14.0</v>
      </c>
      <c r="I15" s="67">
        <v>45.0</v>
      </c>
      <c r="J15" s="67">
        <f t="shared" si="1"/>
        <v>59</v>
      </c>
      <c r="K15" s="71">
        <f t="shared" si="2"/>
        <v>0.7375</v>
      </c>
      <c r="L15" s="73">
        <v>6250000.0</v>
      </c>
      <c r="M15" s="74"/>
      <c r="N15" s="74"/>
      <c r="O15" s="67">
        <v>70.0</v>
      </c>
      <c r="P15" s="67" t="s">
        <v>168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67">
        <v>14.0</v>
      </c>
      <c r="B16" s="67" t="s">
        <v>173</v>
      </c>
      <c r="C16" s="69" t="s">
        <v>121</v>
      </c>
      <c r="D16" s="67">
        <v>28.0</v>
      </c>
      <c r="E16" s="67" t="s">
        <v>48</v>
      </c>
      <c r="F16" s="67" t="s">
        <v>57</v>
      </c>
      <c r="G16" s="67">
        <v>80.0</v>
      </c>
      <c r="H16" s="67">
        <v>12.0</v>
      </c>
      <c r="I16" s="67">
        <v>46.0</v>
      </c>
      <c r="J16" s="67">
        <f t="shared" si="1"/>
        <v>58</v>
      </c>
      <c r="K16" s="71">
        <f t="shared" si="2"/>
        <v>0.725</v>
      </c>
      <c r="L16" s="73">
        <v>8500000.0</v>
      </c>
      <c r="M16" s="74"/>
      <c r="N16" s="74"/>
      <c r="O16" s="67">
        <v>70.0</v>
      </c>
      <c r="P16" s="67" t="s">
        <v>177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67">
        <v>15.0</v>
      </c>
      <c r="B17" s="67" t="s">
        <v>184</v>
      </c>
      <c r="C17" s="69" t="s">
        <v>121</v>
      </c>
      <c r="D17" s="69">
        <v>33.0</v>
      </c>
      <c r="E17" s="68" t="s">
        <v>48</v>
      </c>
      <c r="F17" s="68" t="s">
        <v>155</v>
      </c>
      <c r="G17" s="69">
        <v>68.0</v>
      </c>
      <c r="H17" s="69">
        <v>8.0</v>
      </c>
      <c r="I17" s="69">
        <v>41.0</v>
      </c>
      <c r="J17" s="69">
        <f t="shared" si="1"/>
        <v>49</v>
      </c>
      <c r="K17" s="71">
        <f t="shared" si="2"/>
        <v>0.7205882353</v>
      </c>
      <c r="L17" s="73">
        <v>3200000.0</v>
      </c>
      <c r="M17" s="67" t="s">
        <v>77</v>
      </c>
      <c r="N17" s="74"/>
      <c r="O17" s="67">
        <v>70.0</v>
      </c>
      <c r="P17" s="67" t="s">
        <v>189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67">
        <v>16.0</v>
      </c>
      <c r="B18" s="67" t="s">
        <v>194</v>
      </c>
      <c r="C18" s="67" t="s">
        <v>195</v>
      </c>
      <c r="D18" s="67">
        <v>36.0</v>
      </c>
      <c r="E18" s="67" t="s">
        <v>48</v>
      </c>
      <c r="F18" s="67" t="s">
        <v>196</v>
      </c>
      <c r="G18" s="67">
        <v>65.0</v>
      </c>
      <c r="H18" s="67">
        <v>11.0</v>
      </c>
      <c r="I18" s="67">
        <v>34.0</v>
      </c>
      <c r="J18" s="67">
        <f t="shared" si="1"/>
        <v>45</v>
      </c>
      <c r="K18" s="71">
        <f t="shared" si="2"/>
        <v>0.6923076923</v>
      </c>
      <c r="L18" s="73">
        <v>9059000.0</v>
      </c>
      <c r="M18" s="67" t="s">
        <v>200</v>
      </c>
      <c r="N18" s="74"/>
      <c r="O18" s="67">
        <v>65.0</v>
      </c>
      <c r="P18" s="67" t="s">
        <v>202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67">
        <v>17.0</v>
      </c>
      <c r="B19" s="67" t="s">
        <v>204</v>
      </c>
      <c r="C19" s="67" t="s">
        <v>195</v>
      </c>
      <c r="D19" s="67">
        <v>30.0</v>
      </c>
      <c r="E19" s="67" t="s">
        <v>48</v>
      </c>
      <c r="F19" s="67" t="s">
        <v>157</v>
      </c>
      <c r="G19" s="67">
        <v>84.0</v>
      </c>
      <c r="H19" s="67">
        <v>9.0</v>
      </c>
      <c r="I19" s="67">
        <v>49.0</v>
      </c>
      <c r="J19" s="67">
        <f t="shared" si="1"/>
        <v>58</v>
      </c>
      <c r="K19" s="71">
        <f t="shared" si="2"/>
        <v>0.6904761905</v>
      </c>
      <c r="L19" s="73">
        <v>8500000.0</v>
      </c>
      <c r="M19" s="74"/>
      <c r="N19" s="67"/>
      <c r="O19" s="67">
        <v>80.0</v>
      </c>
      <c r="P19" s="67" t="s">
        <v>208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67">
        <v>18.0</v>
      </c>
      <c r="B20" s="68" t="s">
        <v>211</v>
      </c>
      <c r="C20" s="67" t="s">
        <v>195</v>
      </c>
      <c r="D20" s="69">
        <v>25.0</v>
      </c>
      <c r="E20" s="68" t="s">
        <v>48</v>
      </c>
      <c r="F20" s="68" t="s">
        <v>192</v>
      </c>
      <c r="G20" s="69">
        <v>84.0</v>
      </c>
      <c r="H20" s="69">
        <v>10.0</v>
      </c>
      <c r="I20" s="69">
        <v>48.0</v>
      </c>
      <c r="J20" s="69">
        <f t="shared" si="1"/>
        <v>58</v>
      </c>
      <c r="K20" s="71">
        <f t="shared" si="2"/>
        <v>0.6904761905</v>
      </c>
      <c r="L20" s="73">
        <v>9000000.0</v>
      </c>
      <c r="M20" s="74"/>
      <c r="N20" s="74"/>
      <c r="O20" s="67">
        <v>70.0</v>
      </c>
      <c r="P20" s="67" t="s">
        <v>215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67">
        <v>19.0</v>
      </c>
      <c r="B21" s="67" t="s">
        <v>217</v>
      </c>
      <c r="C21" s="67" t="s">
        <v>195</v>
      </c>
      <c r="D21" s="67">
        <v>36.0</v>
      </c>
      <c r="E21" s="67" t="s">
        <v>48</v>
      </c>
      <c r="F21" s="67" t="s">
        <v>124</v>
      </c>
      <c r="G21" s="67">
        <v>77.0</v>
      </c>
      <c r="H21" s="67">
        <v>9.0</v>
      </c>
      <c r="I21" s="67">
        <v>44.0</v>
      </c>
      <c r="J21" s="67">
        <f t="shared" si="1"/>
        <v>53</v>
      </c>
      <c r="K21" s="71">
        <f t="shared" si="2"/>
        <v>0.6883116883</v>
      </c>
      <c r="L21" s="73">
        <v>8500000.0</v>
      </c>
      <c r="M21" s="74"/>
      <c r="N21" s="74"/>
      <c r="O21" s="67">
        <v>65.0</v>
      </c>
      <c r="P21" s="67" t="s">
        <v>222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67">
        <v>20.0</v>
      </c>
      <c r="B22" s="67" t="s">
        <v>226</v>
      </c>
      <c r="C22" s="67" t="s">
        <v>195</v>
      </c>
      <c r="D22" s="67">
        <v>36.0</v>
      </c>
      <c r="E22" s="67" t="s">
        <v>48</v>
      </c>
      <c r="F22" s="67" t="s">
        <v>228</v>
      </c>
      <c r="G22" s="67">
        <v>84.0</v>
      </c>
      <c r="H22" s="67">
        <v>12.0</v>
      </c>
      <c r="I22" s="67">
        <v>45.0</v>
      </c>
      <c r="J22" s="67">
        <f t="shared" si="1"/>
        <v>57</v>
      </c>
      <c r="K22" s="71">
        <f t="shared" si="2"/>
        <v>0.6785714286</v>
      </c>
      <c r="L22" s="73">
        <v>1.0E7</v>
      </c>
      <c r="M22" s="74"/>
      <c r="N22" s="67" t="s">
        <v>77</v>
      </c>
      <c r="O22" s="67">
        <v>75.0</v>
      </c>
      <c r="P22" s="67" t="s">
        <v>231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67">
        <v>21.0</v>
      </c>
      <c r="B23" s="67" t="s">
        <v>233</v>
      </c>
      <c r="C23" s="67" t="s">
        <v>195</v>
      </c>
      <c r="D23" s="67">
        <v>28.0</v>
      </c>
      <c r="E23" s="67" t="s">
        <v>48</v>
      </c>
      <c r="F23" s="67" t="s">
        <v>235</v>
      </c>
      <c r="G23" s="67">
        <v>80.0</v>
      </c>
      <c r="H23" s="67">
        <v>18.0</v>
      </c>
      <c r="I23" s="67">
        <v>36.0</v>
      </c>
      <c r="J23" s="67">
        <f t="shared" si="1"/>
        <v>54</v>
      </c>
      <c r="K23" s="71">
        <f t="shared" si="2"/>
        <v>0.675</v>
      </c>
      <c r="L23" s="73">
        <v>9000000.0</v>
      </c>
      <c r="M23" s="67"/>
      <c r="N23" s="67"/>
      <c r="O23" s="67">
        <v>60.0</v>
      </c>
      <c r="P23" s="67" t="s">
        <v>238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67">
        <v>22.0</v>
      </c>
      <c r="B24" s="68" t="s">
        <v>241</v>
      </c>
      <c r="C24" s="69" t="s">
        <v>242</v>
      </c>
      <c r="D24" s="133">
        <v>25.0</v>
      </c>
      <c r="E24" s="68" t="s">
        <v>48</v>
      </c>
      <c r="F24" s="68" t="s">
        <v>225</v>
      </c>
      <c r="G24" s="69">
        <v>84.0</v>
      </c>
      <c r="H24" s="69">
        <v>14.0</v>
      </c>
      <c r="I24" s="69">
        <v>40.0</v>
      </c>
      <c r="J24" s="69">
        <f t="shared" si="1"/>
        <v>54</v>
      </c>
      <c r="K24" s="71">
        <f t="shared" si="2"/>
        <v>0.6428571429</v>
      </c>
      <c r="L24" s="73">
        <v>6250000.0</v>
      </c>
      <c r="M24" s="74"/>
      <c r="N24" s="74"/>
      <c r="O24" s="67">
        <v>65.0</v>
      </c>
      <c r="P24" s="67" t="s">
        <v>246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67">
        <v>23.0</v>
      </c>
      <c r="B25" s="67" t="s">
        <v>247</v>
      </c>
      <c r="C25" s="69" t="s">
        <v>242</v>
      </c>
      <c r="D25" s="67">
        <v>33.0</v>
      </c>
      <c r="E25" s="67" t="s">
        <v>48</v>
      </c>
      <c r="F25" s="67" t="s">
        <v>153</v>
      </c>
      <c r="G25" s="67">
        <v>65.0</v>
      </c>
      <c r="H25" s="67">
        <v>9.0</v>
      </c>
      <c r="I25" s="67">
        <v>31.0</v>
      </c>
      <c r="J25" s="67">
        <f t="shared" si="1"/>
        <v>40</v>
      </c>
      <c r="K25" s="71">
        <f t="shared" si="2"/>
        <v>0.6153846154</v>
      </c>
      <c r="L25" s="73">
        <v>9000000.0</v>
      </c>
      <c r="M25" s="67" t="s">
        <v>77</v>
      </c>
      <c r="N25" s="74"/>
      <c r="O25" s="67">
        <v>60.0</v>
      </c>
      <c r="P25" s="67" t="s">
        <v>251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67">
        <v>24.0</v>
      </c>
      <c r="B26" s="68" t="s">
        <v>253</v>
      </c>
      <c r="C26" s="69" t="s">
        <v>242</v>
      </c>
      <c r="D26" s="69">
        <v>23.0</v>
      </c>
      <c r="E26" s="68" t="s">
        <v>48</v>
      </c>
      <c r="F26" s="68" t="s">
        <v>255</v>
      </c>
      <c r="G26" s="69">
        <v>84.0</v>
      </c>
      <c r="H26" s="69">
        <v>12.0</v>
      </c>
      <c r="I26" s="69">
        <v>39.0</v>
      </c>
      <c r="J26" s="69">
        <f t="shared" si="1"/>
        <v>51</v>
      </c>
      <c r="K26" s="71">
        <f t="shared" si="2"/>
        <v>0.6071428571</v>
      </c>
      <c r="L26" s="73">
        <v>7400000.0</v>
      </c>
      <c r="M26" s="74"/>
      <c r="N26" s="74"/>
      <c r="O26" s="67">
        <v>60.0</v>
      </c>
      <c r="P26" s="67" t="s">
        <v>257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67">
        <v>25.0</v>
      </c>
      <c r="B27" s="67" t="s">
        <v>258</v>
      </c>
      <c r="C27" s="69" t="s">
        <v>242</v>
      </c>
      <c r="D27" s="67">
        <v>28.0</v>
      </c>
      <c r="E27" s="67" t="s">
        <v>48</v>
      </c>
      <c r="F27" s="67" t="s">
        <v>261</v>
      </c>
      <c r="G27" s="67">
        <v>70.0</v>
      </c>
      <c r="H27" s="67">
        <v>8.0</v>
      </c>
      <c r="I27" s="67">
        <v>34.0</v>
      </c>
      <c r="J27" s="67">
        <f t="shared" si="1"/>
        <v>42</v>
      </c>
      <c r="K27" s="71">
        <f t="shared" si="2"/>
        <v>0.6</v>
      </c>
      <c r="L27" s="73">
        <v>7250000.0</v>
      </c>
      <c r="M27" s="67" t="s">
        <v>77</v>
      </c>
      <c r="N27" s="74"/>
      <c r="O27" s="67">
        <v>55.0</v>
      </c>
      <c r="P27" s="67" t="s">
        <v>265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67">
        <v>26.0</v>
      </c>
      <c r="B28" s="67" t="s">
        <v>268</v>
      </c>
      <c r="C28" s="69" t="s">
        <v>242</v>
      </c>
      <c r="D28" s="67">
        <v>29.0</v>
      </c>
      <c r="E28" s="67" t="s">
        <v>48</v>
      </c>
      <c r="F28" s="67" t="s">
        <v>269</v>
      </c>
      <c r="G28" s="67">
        <v>65.0</v>
      </c>
      <c r="H28" s="67">
        <v>9.0</v>
      </c>
      <c r="I28" s="67">
        <v>30.0</v>
      </c>
      <c r="J28" s="67">
        <f t="shared" si="1"/>
        <v>39</v>
      </c>
      <c r="K28" s="71">
        <f t="shared" si="2"/>
        <v>0.6</v>
      </c>
      <c r="L28" s="73">
        <v>7350000.0</v>
      </c>
      <c r="M28" s="67" t="s">
        <v>77</v>
      </c>
      <c r="N28" s="67" t="s">
        <v>77</v>
      </c>
      <c r="O28" s="67">
        <v>60.0</v>
      </c>
      <c r="P28" s="67" t="s">
        <v>272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67">
        <v>27.0</v>
      </c>
      <c r="B29" s="68" t="s">
        <v>277</v>
      </c>
      <c r="C29" s="69" t="s">
        <v>242</v>
      </c>
      <c r="D29" s="69">
        <v>31.0</v>
      </c>
      <c r="E29" s="68" t="s">
        <v>48</v>
      </c>
      <c r="F29" s="68" t="s">
        <v>181</v>
      </c>
      <c r="G29" s="69">
        <v>60.0</v>
      </c>
      <c r="H29" s="69">
        <v>8.0</v>
      </c>
      <c r="I29" s="69">
        <v>28.0</v>
      </c>
      <c r="J29" s="69">
        <f t="shared" si="1"/>
        <v>36</v>
      </c>
      <c r="K29" s="71">
        <f t="shared" si="2"/>
        <v>0.6</v>
      </c>
      <c r="L29" s="73">
        <v>9500000.0</v>
      </c>
      <c r="M29" s="67" t="s">
        <v>77</v>
      </c>
      <c r="N29" s="67" t="s">
        <v>77</v>
      </c>
      <c r="O29" s="67">
        <v>50.0</v>
      </c>
      <c r="P29" s="67" t="s">
        <v>279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67">
        <v>28.0</v>
      </c>
      <c r="B30" s="68" t="s">
        <v>282</v>
      </c>
      <c r="C30" s="69" t="s">
        <v>242</v>
      </c>
      <c r="D30" s="69">
        <v>24.0</v>
      </c>
      <c r="E30" s="68" t="s">
        <v>48</v>
      </c>
      <c r="F30" s="68" t="s">
        <v>54</v>
      </c>
      <c r="G30" s="69">
        <v>82.0</v>
      </c>
      <c r="H30" s="69">
        <v>14.0</v>
      </c>
      <c r="I30" s="69">
        <v>35.0</v>
      </c>
      <c r="J30" s="69">
        <f t="shared" si="1"/>
        <v>49</v>
      </c>
      <c r="K30" s="71">
        <f t="shared" si="2"/>
        <v>0.5975609756</v>
      </c>
      <c r="L30" s="73">
        <v>8500000.0</v>
      </c>
      <c r="M30" s="74"/>
      <c r="N30" s="67" t="s">
        <v>285</v>
      </c>
      <c r="O30" s="67">
        <v>60.0</v>
      </c>
      <c r="P30" s="67" t="s">
        <v>286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67">
        <v>29.0</v>
      </c>
      <c r="B31" s="67" t="s">
        <v>291</v>
      </c>
      <c r="C31" s="69" t="s">
        <v>242</v>
      </c>
      <c r="D31" s="67">
        <v>31.0</v>
      </c>
      <c r="E31" s="67" t="s">
        <v>48</v>
      </c>
      <c r="F31" s="67" t="s">
        <v>170</v>
      </c>
      <c r="G31" s="67">
        <v>65.0</v>
      </c>
      <c r="H31" s="67">
        <v>8.0</v>
      </c>
      <c r="I31" s="67">
        <v>30.0</v>
      </c>
      <c r="J31" s="67">
        <f t="shared" si="1"/>
        <v>38</v>
      </c>
      <c r="K31" s="71">
        <f t="shared" si="2"/>
        <v>0.5846153846</v>
      </c>
      <c r="L31" s="73">
        <v>7425000.0</v>
      </c>
      <c r="M31" s="67" t="s">
        <v>77</v>
      </c>
      <c r="N31" s="67" t="s">
        <v>77</v>
      </c>
      <c r="O31" s="67">
        <v>70.0</v>
      </c>
      <c r="P31" s="67" t="s">
        <v>293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67">
        <v>30.0</v>
      </c>
      <c r="B32" s="68" t="s">
        <v>298</v>
      </c>
      <c r="C32" s="69" t="s">
        <v>242</v>
      </c>
      <c r="D32" s="69">
        <v>26.0</v>
      </c>
      <c r="E32" s="68" t="s">
        <v>48</v>
      </c>
      <c r="F32" s="68" t="s">
        <v>109</v>
      </c>
      <c r="G32" s="69">
        <v>76.0</v>
      </c>
      <c r="H32" s="69">
        <v>10.0</v>
      </c>
      <c r="I32" s="69">
        <v>34.0</v>
      </c>
      <c r="J32" s="69">
        <f t="shared" si="1"/>
        <v>44</v>
      </c>
      <c r="K32" s="71">
        <f t="shared" si="2"/>
        <v>0.5789473684</v>
      </c>
      <c r="L32" s="73">
        <v>9500000.0</v>
      </c>
      <c r="M32" s="74"/>
      <c r="N32" s="74"/>
      <c r="O32" s="67">
        <v>55.0</v>
      </c>
      <c r="P32" s="67" t="s">
        <v>300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67">
        <v>31.0</v>
      </c>
      <c r="B33" s="67" t="s">
        <v>303</v>
      </c>
      <c r="C33" s="69" t="s">
        <v>242</v>
      </c>
      <c r="D33" s="67">
        <v>23.0</v>
      </c>
      <c r="E33" s="67" t="s">
        <v>48</v>
      </c>
      <c r="F33" s="67" t="s">
        <v>153</v>
      </c>
      <c r="G33" s="67">
        <v>70.0</v>
      </c>
      <c r="H33" s="67">
        <v>7.0</v>
      </c>
      <c r="I33" s="67">
        <v>33.0</v>
      </c>
      <c r="J33" s="67">
        <f t="shared" si="1"/>
        <v>40</v>
      </c>
      <c r="K33" s="71">
        <f t="shared" si="2"/>
        <v>0.5714285714</v>
      </c>
      <c r="L33" s="73">
        <v>9000000.0</v>
      </c>
      <c r="M33" s="67"/>
      <c r="N33" s="74"/>
      <c r="O33" s="67"/>
      <c r="P33" s="67" t="s">
        <v>307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67">
        <v>32.0</v>
      </c>
      <c r="B34" s="67" t="s">
        <v>310</v>
      </c>
      <c r="C34" s="69" t="s">
        <v>242</v>
      </c>
      <c r="D34" s="67">
        <v>25.0</v>
      </c>
      <c r="E34" s="67" t="s">
        <v>48</v>
      </c>
      <c r="F34" s="67" t="s">
        <v>145</v>
      </c>
      <c r="G34" s="67">
        <v>84.0</v>
      </c>
      <c r="H34" s="67">
        <v>9.0</v>
      </c>
      <c r="I34" s="67">
        <v>39.0</v>
      </c>
      <c r="J34" s="67">
        <f t="shared" si="1"/>
        <v>48</v>
      </c>
      <c r="K34" s="71">
        <f t="shared" si="2"/>
        <v>0.5714285714</v>
      </c>
      <c r="L34" s="73">
        <v>8000000.0</v>
      </c>
      <c r="M34" s="74"/>
      <c r="N34" s="74"/>
      <c r="O34" s="67">
        <v>55.0</v>
      </c>
      <c r="P34" s="67" t="s">
        <v>313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67">
        <v>33.0</v>
      </c>
      <c r="B35" s="68" t="s">
        <v>314</v>
      </c>
      <c r="C35" s="69" t="s">
        <v>242</v>
      </c>
      <c r="D35" s="69">
        <v>25.0</v>
      </c>
      <c r="E35" s="68" t="s">
        <v>48</v>
      </c>
      <c r="F35" s="68" t="s">
        <v>43</v>
      </c>
      <c r="G35" s="69">
        <v>74.0</v>
      </c>
      <c r="H35" s="69">
        <v>8.0</v>
      </c>
      <c r="I35" s="69">
        <v>34.0</v>
      </c>
      <c r="J35" s="69">
        <f t="shared" si="1"/>
        <v>42</v>
      </c>
      <c r="K35" s="71">
        <f t="shared" si="2"/>
        <v>0.5675675676</v>
      </c>
      <c r="L35" s="73">
        <v>1.0587E7</v>
      </c>
      <c r="M35" s="74"/>
      <c r="N35" s="74"/>
      <c r="O35" s="67">
        <v>55.0</v>
      </c>
      <c r="P35" s="67" t="s">
        <v>317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67">
        <v>34.0</v>
      </c>
      <c r="B36" s="68" t="s">
        <v>319</v>
      </c>
      <c r="C36" s="69" t="s">
        <v>242</v>
      </c>
      <c r="D36" s="69">
        <v>26.0</v>
      </c>
      <c r="E36" s="68" t="s">
        <v>48</v>
      </c>
      <c r="F36" s="68" t="s">
        <v>155</v>
      </c>
      <c r="G36" s="69">
        <v>82.0</v>
      </c>
      <c r="H36" s="69">
        <v>10.0</v>
      </c>
      <c r="I36" s="69">
        <v>36.0</v>
      </c>
      <c r="J36" s="69">
        <f t="shared" si="1"/>
        <v>46</v>
      </c>
      <c r="K36" s="71">
        <f t="shared" si="2"/>
        <v>0.5609756098</v>
      </c>
      <c r="L36" s="73">
        <v>7500000.0</v>
      </c>
      <c r="M36" s="74"/>
      <c r="N36" s="74"/>
      <c r="O36" s="67">
        <v>50.0</v>
      </c>
      <c r="P36" s="67" t="s">
        <v>322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40" t="s">
        <v>323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5"/>
      <c r="N37" s="74"/>
      <c r="O37" s="67"/>
      <c r="P37" s="67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67">
        <v>35.0</v>
      </c>
      <c r="B38" s="67" t="s">
        <v>329</v>
      </c>
      <c r="C38" s="69" t="s">
        <v>330</v>
      </c>
      <c r="D38" s="67">
        <v>29.0</v>
      </c>
      <c r="E38" s="67" t="s">
        <v>48</v>
      </c>
      <c r="F38" s="67" t="s">
        <v>122</v>
      </c>
      <c r="G38" s="67">
        <v>65.0</v>
      </c>
      <c r="H38" s="67">
        <v>5.0</v>
      </c>
      <c r="I38" s="67">
        <v>31.0</v>
      </c>
      <c r="J38" s="67">
        <f t="shared" ref="J38:J108" si="3">H38+I38</f>
        <v>36</v>
      </c>
      <c r="K38" s="71">
        <f t="shared" ref="K38:K108" si="4">J38/G38</f>
        <v>0.5538461538</v>
      </c>
      <c r="L38" s="73">
        <v>8000000.0</v>
      </c>
      <c r="M38" s="67" t="s">
        <v>77</v>
      </c>
      <c r="N38" s="74"/>
      <c r="O38" s="67">
        <v>50.0</v>
      </c>
      <c r="P38" s="67" t="s">
        <v>337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67">
        <v>36.0</v>
      </c>
      <c r="B39" s="67" t="s">
        <v>339</v>
      </c>
      <c r="C39" s="69" t="s">
        <v>330</v>
      </c>
      <c r="D39" s="67">
        <v>35.0</v>
      </c>
      <c r="E39" s="67" t="s">
        <v>48</v>
      </c>
      <c r="F39" s="67" t="s">
        <v>124</v>
      </c>
      <c r="G39" s="67">
        <v>65.0</v>
      </c>
      <c r="H39" s="67">
        <v>8.0</v>
      </c>
      <c r="I39" s="67">
        <v>27.0</v>
      </c>
      <c r="J39" s="67">
        <f t="shared" si="3"/>
        <v>35</v>
      </c>
      <c r="K39" s="71">
        <f t="shared" si="4"/>
        <v>0.5384615385</v>
      </c>
      <c r="L39" s="73">
        <v>8000000.0</v>
      </c>
      <c r="M39" s="67" t="s">
        <v>77</v>
      </c>
      <c r="N39" s="67" t="s">
        <v>77</v>
      </c>
      <c r="O39" s="67">
        <v>50.0</v>
      </c>
      <c r="P39" s="67" t="s">
        <v>343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67">
        <v>37.0</v>
      </c>
      <c r="B40" s="67" t="s">
        <v>345</v>
      </c>
      <c r="C40" s="69" t="s">
        <v>330</v>
      </c>
      <c r="D40" s="67">
        <v>20.0</v>
      </c>
      <c r="E40" s="67" t="s">
        <v>48</v>
      </c>
      <c r="F40" s="67" t="s">
        <v>235</v>
      </c>
      <c r="G40" s="67">
        <v>80.0</v>
      </c>
      <c r="H40" s="67">
        <v>6.0</v>
      </c>
      <c r="I40" s="67">
        <v>37.0</v>
      </c>
      <c r="J40" s="67">
        <f t="shared" si="3"/>
        <v>43</v>
      </c>
      <c r="K40" s="71">
        <f t="shared" si="4"/>
        <v>0.5375</v>
      </c>
      <c r="L40" s="73">
        <v>952083.0</v>
      </c>
      <c r="M40" s="67"/>
      <c r="N40" s="67"/>
      <c r="O40" s="67">
        <v>70.0</v>
      </c>
      <c r="P40" s="67" t="s">
        <v>348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67">
        <v>38.0</v>
      </c>
      <c r="B41" s="68" t="s">
        <v>351</v>
      </c>
      <c r="C41" s="69" t="s">
        <v>330</v>
      </c>
      <c r="D41" s="69">
        <v>28.0</v>
      </c>
      <c r="E41" s="68" t="s">
        <v>48</v>
      </c>
      <c r="F41" s="68" t="s">
        <v>64</v>
      </c>
      <c r="G41" s="69">
        <v>84.0</v>
      </c>
      <c r="H41" s="69">
        <v>9.0</v>
      </c>
      <c r="I41" s="69">
        <v>36.0</v>
      </c>
      <c r="J41" s="69">
        <f t="shared" si="3"/>
        <v>45</v>
      </c>
      <c r="K41" s="71">
        <f t="shared" si="4"/>
        <v>0.5357142857</v>
      </c>
      <c r="L41" s="73">
        <v>4750000.0</v>
      </c>
      <c r="M41" s="74"/>
      <c r="N41" s="74"/>
      <c r="O41" s="67">
        <v>50.0</v>
      </c>
      <c r="P41" s="67" t="s">
        <v>354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67">
        <v>39.0</v>
      </c>
      <c r="B42" s="67" t="s">
        <v>358</v>
      </c>
      <c r="C42" s="69" t="s">
        <v>330</v>
      </c>
      <c r="D42" s="67">
        <v>30.0</v>
      </c>
      <c r="E42" s="67" t="s">
        <v>48</v>
      </c>
      <c r="F42" s="67" t="s">
        <v>65</v>
      </c>
      <c r="G42" s="67">
        <v>60.0</v>
      </c>
      <c r="H42" s="67">
        <v>7.0</v>
      </c>
      <c r="I42" s="67">
        <v>25.0</v>
      </c>
      <c r="J42" s="67">
        <f t="shared" si="3"/>
        <v>32</v>
      </c>
      <c r="K42" s="71">
        <f t="shared" si="4"/>
        <v>0.5333333333</v>
      </c>
      <c r="L42" s="73">
        <v>4500000.0</v>
      </c>
      <c r="M42" s="67" t="s">
        <v>77</v>
      </c>
      <c r="N42" s="74"/>
      <c r="O42" s="67">
        <v>45.0</v>
      </c>
      <c r="P42" s="67" t="s">
        <v>360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67">
        <v>40.0</v>
      </c>
      <c r="B43" s="67" t="s">
        <v>364</v>
      </c>
      <c r="C43" s="69" t="s">
        <v>330</v>
      </c>
      <c r="D43" s="67">
        <v>29.0</v>
      </c>
      <c r="E43" s="67" t="s">
        <v>48</v>
      </c>
      <c r="F43" s="67" t="s">
        <v>170</v>
      </c>
      <c r="G43" s="67">
        <v>82.0</v>
      </c>
      <c r="H43" s="67">
        <v>9.0</v>
      </c>
      <c r="I43" s="67">
        <v>32.0</v>
      </c>
      <c r="J43" s="67">
        <f t="shared" si="3"/>
        <v>41</v>
      </c>
      <c r="K43" s="71">
        <f t="shared" si="4"/>
        <v>0.5</v>
      </c>
      <c r="L43" s="73">
        <v>8500000.0</v>
      </c>
      <c r="M43" s="74"/>
      <c r="N43" s="67"/>
      <c r="O43" s="67">
        <v>50.0</v>
      </c>
      <c r="P43" s="67" t="s">
        <v>369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67">
        <v>41.0</v>
      </c>
      <c r="B44" s="67" t="s">
        <v>372</v>
      </c>
      <c r="C44" s="69" t="s">
        <v>330</v>
      </c>
      <c r="D44" s="67">
        <v>32.0</v>
      </c>
      <c r="E44" s="67" t="s">
        <v>48</v>
      </c>
      <c r="F44" s="67" t="s">
        <v>157</v>
      </c>
      <c r="G44" s="67">
        <v>80.0</v>
      </c>
      <c r="H44" s="67">
        <v>6.0</v>
      </c>
      <c r="I44" s="67">
        <v>34.0</v>
      </c>
      <c r="J44" s="67">
        <f t="shared" si="3"/>
        <v>40</v>
      </c>
      <c r="K44" s="71">
        <f t="shared" si="4"/>
        <v>0.5</v>
      </c>
      <c r="L44" s="73">
        <v>7500000.0</v>
      </c>
      <c r="M44" s="74"/>
      <c r="N44" s="67"/>
      <c r="O44" s="67">
        <v>50.0</v>
      </c>
      <c r="P44" s="67" t="s">
        <v>375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67">
        <v>42.0</v>
      </c>
      <c r="B45" s="67" t="s">
        <v>378</v>
      </c>
      <c r="C45" s="69" t="s">
        <v>330</v>
      </c>
      <c r="D45" s="67">
        <v>32.0</v>
      </c>
      <c r="E45" s="67" t="s">
        <v>48</v>
      </c>
      <c r="F45" s="67" t="s">
        <v>269</v>
      </c>
      <c r="G45" s="67">
        <v>76.0</v>
      </c>
      <c r="H45" s="67">
        <v>10.0</v>
      </c>
      <c r="I45" s="67">
        <v>28.0</v>
      </c>
      <c r="J45" s="67">
        <f t="shared" si="3"/>
        <v>38</v>
      </c>
      <c r="K45" s="71">
        <f t="shared" si="4"/>
        <v>0.5</v>
      </c>
      <c r="L45" s="73">
        <v>7142857.0</v>
      </c>
      <c r="M45" s="74"/>
      <c r="N45" s="74"/>
      <c r="O45" s="67">
        <v>50.0</v>
      </c>
      <c r="P45" s="67" t="s">
        <v>382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67">
        <v>43.0</v>
      </c>
      <c r="B46" s="145" t="s">
        <v>387</v>
      </c>
      <c r="C46" s="146" t="s">
        <v>330</v>
      </c>
      <c r="D46" s="146">
        <v>32.0</v>
      </c>
      <c r="E46" s="145" t="s">
        <v>48</v>
      </c>
      <c r="F46" s="145" t="s">
        <v>64</v>
      </c>
      <c r="G46" s="146">
        <v>74.0</v>
      </c>
      <c r="H46" s="146">
        <v>9.0</v>
      </c>
      <c r="I46" s="146">
        <v>28.0</v>
      </c>
      <c r="J46" s="146">
        <f t="shared" si="3"/>
        <v>37</v>
      </c>
      <c r="K46" s="147">
        <f t="shared" si="4"/>
        <v>0.5</v>
      </c>
      <c r="L46" s="148">
        <v>7250000.0</v>
      </c>
      <c r="M46" s="149"/>
      <c r="N46" s="149"/>
      <c r="O46" s="150">
        <v>50.0</v>
      </c>
      <c r="P46" s="150" t="s">
        <v>391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67">
        <v>44.0</v>
      </c>
      <c r="B47" s="152" t="s">
        <v>394</v>
      </c>
      <c r="C47" s="153" t="s">
        <v>395</v>
      </c>
      <c r="D47" s="152">
        <v>35.0</v>
      </c>
      <c r="E47" s="152" t="s">
        <v>48</v>
      </c>
      <c r="F47" s="152" t="s">
        <v>96</v>
      </c>
      <c r="G47" s="152">
        <v>84.0</v>
      </c>
      <c r="H47" s="152">
        <v>5.0</v>
      </c>
      <c r="I47" s="152">
        <v>35.0</v>
      </c>
      <c r="J47" s="152">
        <f t="shared" si="3"/>
        <v>40</v>
      </c>
      <c r="K47" s="154">
        <f t="shared" si="4"/>
        <v>0.4761904762</v>
      </c>
      <c r="L47" s="155">
        <v>6500000.0</v>
      </c>
      <c r="M47" s="156"/>
      <c r="N47" s="152" t="s">
        <v>77</v>
      </c>
      <c r="O47" s="152">
        <v>47.0</v>
      </c>
      <c r="P47" s="152" t="s">
        <v>399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67">
        <v>45.0</v>
      </c>
      <c r="B48" s="68" t="s">
        <v>401</v>
      </c>
      <c r="C48" s="69" t="s">
        <v>395</v>
      </c>
      <c r="D48" s="69">
        <v>23.0</v>
      </c>
      <c r="E48" s="68" t="s">
        <v>48</v>
      </c>
      <c r="F48" s="68" t="s">
        <v>98</v>
      </c>
      <c r="G48" s="69">
        <v>82.0</v>
      </c>
      <c r="H48" s="69">
        <v>9.0</v>
      </c>
      <c r="I48" s="69">
        <v>28.0</v>
      </c>
      <c r="J48" s="69">
        <f t="shared" si="3"/>
        <v>37</v>
      </c>
      <c r="K48" s="71">
        <f t="shared" si="4"/>
        <v>0.4512195122</v>
      </c>
      <c r="L48" s="73">
        <v>8350000.0</v>
      </c>
      <c r="M48" s="74"/>
      <c r="N48" s="74"/>
      <c r="O48" s="67">
        <v>45.0</v>
      </c>
      <c r="P48" s="67" t="s">
        <v>409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67">
        <v>46.0</v>
      </c>
      <c r="B49" s="67" t="s">
        <v>412</v>
      </c>
      <c r="C49" s="69" t="s">
        <v>395</v>
      </c>
      <c r="D49" s="67">
        <v>20.0</v>
      </c>
      <c r="E49" s="67" t="s">
        <v>48</v>
      </c>
      <c r="F49" s="67" t="s">
        <v>261</v>
      </c>
      <c r="G49" s="67">
        <v>80.0</v>
      </c>
      <c r="H49" s="67">
        <v>8.0</v>
      </c>
      <c r="I49" s="67">
        <v>28.0</v>
      </c>
      <c r="J49" s="67">
        <f t="shared" si="3"/>
        <v>36</v>
      </c>
      <c r="K49" s="71">
        <f t="shared" si="4"/>
        <v>0.45</v>
      </c>
      <c r="L49" s="73">
        <v>966667.0</v>
      </c>
      <c r="M49" s="74"/>
      <c r="N49" s="67" t="s">
        <v>77</v>
      </c>
      <c r="O49" s="67">
        <v>55.0</v>
      </c>
      <c r="P49" s="67" t="s">
        <v>414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67">
        <v>47.0</v>
      </c>
      <c r="B50" s="67" t="s">
        <v>416</v>
      </c>
      <c r="C50" s="69" t="s">
        <v>395</v>
      </c>
      <c r="D50" s="67">
        <v>25.0</v>
      </c>
      <c r="E50" s="67" t="s">
        <v>48</v>
      </c>
      <c r="F50" s="67" t="s">
        <v>122</v>
      </c>
      <c r="G50" s="67">
        <v>80.0</v>
      </c>
      <c r="H50" s="67">
        <v>6.0</v>
      </c>
      <c r="I50" s="67">
        <v>30.0</v>
      </c>
      <c r="J50" s="67">
        <f t="shared" si="3"/>
        <v>36</v>
      </c>
      <c r="K50" s="71">
        <f t="shared" si="4"/>
        <v>0.45</v>
      </c>
      <c r="L50" s="73">
        <v>5000000.0</v>
      </c>
      <c r="M50" s="74"/>
      <c r="N50" s="74"/>
      <c r="O50" s="67">
        <v>45.0</v>
      </c>
      <c r="P50" s="67" t="s">
        <v>420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67">
        <v>48.0</v>
      </c>
      <c r="B51" s="67" t="s">
        <v>422</v>
      </c>
      <c r="C51" s="69" t="s">
        <v>395</v>
      </c>
      <c r="D51" s="67">
        <v>27.0</v>
      </c>
      <c r="E51" s="67" t="s">
        <v>48</v>
      </c>
      <c r="F51" s="67" t="s">
        <v>88</v>
      </c>
      <c r="G51" s="67">
        <v>60.0</v>
      </c>
      <c r="H51" s="67">
        <v>5.0</v>
      </c>
      <c r="I51" s="67">
        <v>22.0</v>
      </c>
      <c r="J51" s="67">
        <f t="shared" si="3"/>
        <v>27</v>
      </c>
      <c r="K51" s="71">
        <f t="shared" si="4"/>
        <v>0.45</v>
      </c>
      <c r="L51" s="73">
        <v>6000000.0</v>
      </c>
      <c r="M51" s="67" t="s">
        <v>77</v>
      </c>
      <c r="N51" s="74"/>
      <c r="O51" s="67">
        <v>45.0</v>
      </c>
      <c r="P51" s="67" t="s">
        <v>425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67">
        <v>49.0</v>
      </c>
      <c r="B52" s="68" t="s">
        <v>427</v>
      </c>
      <c r="C52" s="69" t="s">
        <v>395</v>
      </c>
      <c r="D52" s="69">
        <v>36.0</v>
      </c>
      <c r="E52" s="68" t="s">
        <v>48</v>
      </c>
      <c r="F52" s="68" t="s">
        <v>49</v>
      </c>
      <c r="G52" s="69">
        <v>80.0</v>
      </c>
      <c r="H52" s="69">
        <v>6.0</v>
      </c>
      <c r="I52" s="69">
        <v>30.0</v>
      </c>
      <c r="J52" s="69">
        <f t="shared" si="3"/>
        <v>36</v>
      </c>
      <c r="K52" s="71">
        <f t="shared" si="4"/>
        <v>0.45</v>
      </c>
      <c r="L52" s="73">
        <v>4000000.0</v>
      </c>
      <c r="M52" s="74"/>
      <c r="N52" s="74"/>
      <c r="O52" s="67">
        <v>45.0</v>
      </c>
      <c r="P52" s="67" t="s">
        <v>432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67">
        <v>50.0</v>
      </c>
      <c r="B53" s="68" t="s">
        <v>434</v>
      </c>
      <c r="C53" s="69" t="s">
        <v>395</v>
      </c>
      <c r="D53" s="69">
        <v>24.0</v>
      </c>
      <c r="E53" s="68" t="s">
        <v>48</v>
      </c>
      <c r="F53" s="68" t="s">
        <v>155</v>
      </c>
      <c r="G53" s="69">
        <v>84.0</v>
      </c>
      <c r="H53" s="69">
        <v>12.0</v>
      </c>
      <c r="I53" s="69">
        <v>25.0</v>
      </c>
      <c r="J53" s="69">
        <f t="shared" si="3"/>
        <v>37</v>
      </c>
      <c r="K53" s="71">
        <f t="shared" si="4"/>
        <v>0.4404761905</v>
      </c>
      <c r="L53" s="73" t="s">
        <v>283</v>
      </c>
      <c r="M53" s="74"/>
      <c r="N53" s="74"/>
      <c r="O53" s="67">
        <v>45.0</v>
      </c>
      <c r="P53" s="67" t="s">
        <v>437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67">
        <v>51.0</v>
      </c>
      <c r="B54" s="67" t="s">
        <v>439</v>
      </c>
      <c r="C54" s="69" t="s">
        <v>395</v>
      </c>
      <c r="D54" s="67">
        <v>31.0</v>
      </c>
      <c r="E54" s="67" t="s">
        <v>48</v>
      </c>
      <c r="F54" s="67" t="s">
        <v>96</v>
      </c>
      <c r="G54" s="67">
        <v>84.0</v>
      </c>
      <c r="H54" s="67">
        <v>8.0</v>
      </c>
      <c r="I54" s="67">
        <v>29.0</v>
      </c>
      <c r="J54" s="67">
        <f t="shared" si="3"/>
        <v>37</v>
      </c>
      <c r="K54" s="71">
        <f t="shared" si="4"/>
        <v>0.4404761905</v>
      </c>
      <c r="L54" s="73">
        <v>9250000.0</v>
      </c>
      <c r="M54" s="74"/>
      <c r="N54" s="74"/>
      <c r="O54" s="67">
        <v>40.0</v>
      </c>
      <c r="P54" s="67" t="s">
        <v>442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67">
        <v>52.0</v>
      </c>
      <c r="B55" s="68" t="s">
        <v>443</v>
      </c>
      <c r="C55" s="69" t="s">
        <v>395</v>
      </c>
      <c r="D55" s="69">
        <v>34.0</v>
      </c>
      <c r="E55" s="68" t="s">
        <v>48</v>
      </c>
      <c r="F55" s="68" t="s">
        <v>114</v>
      </c>
      <c r="G55" s="69">
        <v>80.0</v>
      </c>
      <c r="H55" s="69">
        <v>9.0</v>
      </c>
      <c r="I55" s="69">
        <v>26.0</v>
      </c>
      <c r="J55" s="69">
        <f t="shared" si="3"/>
        <v>35</v>
      </c>
      <c r="K55" s="71">
        <f t="shared" si="4"/>
        <v>0.4375</v>
      </c>
      <c r="L55" s="73">
        <v>6500000.0</v>
      </c>
      <c r="M55" s="74"/>
      <c r="N55" s="74"/>
      <c r="O55" s="67">
        <v>45.0</v>
      </c>
      <c r="P55" s="67" t="s">
        <v>449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67">
        <v>53.0</v>
      </c>
      <c r="B56" s="67" t="s">
        <v>451</v>
      </c>
      <c r="C56" s="69" t="s">
        <v>395</v>
      </c>
      <c r="D56" s="67">
        <v>39.0</v>
      </c>
      <c r="E56" s="67" t="s">
        <v>48</v>
      </c>
      <c r="F56" s="67" t="s">
        <v>228</v>
      </c>
      <c r="G56" s="67">
        <v>74.0</v>
      </c>
      <c r="H56" s="67">
        <v>4.0</v>
      </c>
      <c r="I56" s="67">
        <v>28.0</v>
      </c>
      <c r="J56" s="67">
        <f t="shared" si="3"/>
        <v>32</v>
      </c>
      <c r="K56" s="71">
        <f t="shared" si="4"/>
        <v>0.4324324324</v>
      </c>
      <c r="L56" s="73">
        <v>6100000.0</v>
      </c>
      <c r="M56" s="74"/>
      <c r="N56" s="74"/>
      <c r="O56" s="67">
        <v>45.0</v>
      </c>
      <c r="P56" s="67" t="s">
        <v>454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67">
        <v>54.0</v>
      </c>
      <c r="B57" s="68" t="s">
        <v>457</v>
      </c>
      <c r="C57" s="69" t="s">
        <v>395</v>
      </c>
      <c r="D57" s="69">
        <v>20.0</v>
      </c>
      <c r="E57" s="68" t="s">
        <v>48</v>
      </c>
      <c r="F57" s="68" t="s">
        <v>262</v>
      </c>
      <c r="G57" s="69">
        <v>84.0</v>
      </c>
      <c r="H57" s="69">
        <v>9.0</v>
      </c>
      <c r="I57" s="69">
        <v>27.0</v>
      </c>
      <c r="J57" s="69">
        <f t="shared" si="3"/>
        <v>36</v>
      </c>
      <c r="K57" s="71">
        <f t="shared" si="4"/>
        <v>0.4285714286</v>
      </c>
      <c r="L57" s="73">
        <v>953750.0</v>
      </c>
      <c r="M57" s="74"/>
      <c r="N57" s="67" t="s">
        <v>77</v>
      </c>
      <c r="O57" s="67">
        <v>50.0</v>
      </c>
      <c r="P57" s="67" t="s">
        <v>460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67">
        <v>55.0</v>
      </c>
      <c r="B58" s="67" t="s">
        <v>463</v>
      </c>
      <c r="C58" s="69" t="s">
        <v>395</v>
      </c>
      <c r="D58" s="67">
        <v>34.0</v>
      </c>
      <c r="E58" s="67" t="s">
        <v>48</v>
      </c>
      <c r="F58" s="67" t="s">
        <v>145</v>
      </c>
      <c r="G58" s="67">
        <v>80.0</v>
      </c>
      <c r="H58" s="67">
        <v>5.0</v>
      </c>
      <c r="I58" s="67">
        <v>29.0</v>
      </c>
      <c r="J58" s="67">
        <f t="shared" si="3"/>
        <v>34</v>
      </c>
      <c r="K58" s="71">
        <f t="shared" si="4"/>
        <v>0.425</v>
      </c>
      <c r="L58" s="73">
        <v>6100000.0</v>
      </c>
      <c r="M58" s="74"/>
      <c r="N58" s="74"/>
      <c r="O58" s="67">
        <v>45.0</v>
      </c>
      <c r="P58" s="67" t="s">
        <v>465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67">
        <v>56.0</v>
      </c>
      <c r="B59" s="67" t="s">
        <v>467</v>
      </c>
      <c r="C59" s="69" t="s">
        <v>395</v>
      </c>
      <c r="D59" s="67">
        <v>29.0</v>
      </c>
      <c r="E59" s="67" t="s">
        <v>48</v>
      </c>
      <c r="F59" s="67" t="s">
        <v>57</v>
      </c>
      <c r="G59" s="67">
        <v>74.0</v>
      </c>
      <c r="H59" s="67">
        <v>3.0</v>
      </c>
      <c r="I59" s="67">
        <v>28.0</v>
      </c>
      <c r="J59" s="67">
        <f t="shared" si="3"/>
        <v>31</v>
      </c>
      <c r="K59" s="71">
        <f t="shared" si="4"/>
        <v>0.4189189189</v>
      </c>
      <c r="L59" s="73">
        <v>6750000.0</v>
      </c>
      <c r="M59" s="67" t="s">
        <v>77</v>
      </c>
      <c r="N59" s="67"/>
      <c r="O59" s="67">
        <v>35.0</v>
      </c>
      <c r="P59" s="67" t="s">
        <v>470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67">
        <v>57.0</v>
      </c>
      <c r="B60" s="68" t="s">
        <v>474</v>
      </c>
      <c r="C60" s="69" t="s">
        <v>395</v>
      </c>
      <c r="D60" s="69">
        <v>22.0</v>
      </c>
      <c r="E60" s="68" t="s">
        <v>48</v>
      </c>
      <c r="F60" s="68" t="s">
        <v>262</v>
      </c>
      <c r="G60" s="69">
        <v>84.0</v>
      </c>
      <c r="H60" s="69">
        <v>12.0</v>
      </c>
      <c r="I60" s="69">
        <v>23.0</v>
      </c>
      <c r="J60" s="69">
        <f t="shared" si="3"/>
        <v>35</v>
      </c>
      <c r="K60" s="71">
        <f t="shared" si="4"/>
        <v>0.4166666667</v>
      </c>
      <c r="L60" s="73">
        <v>7250000.0</v>
      </c>
      <c r="M60" s="74"/>
      <c r="N60" s="67" t="s">
        <v>77</v>
      </c>
      <c r="O60" s="67">
        <v>45.0</v>
      </c>
      <c r="P60" s="67" t="s">
        <v>477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67">
        <v>58.0</v>
      </c>
      <c r="B61" s="67" t="s">
        <v>479</v>
      </c>
      <c r="C61" s="69" t="s">
        <v>395</v>
      </c>
      <c r="D61" s="67">
        <v>32.0</v>
      </c>
      <c r="E61" s="67" t="s">
        <v>48</v>
      </c>
      <c r="F61" s="67" t="s">
        <v>57</v>
      </c>
      <c r="G61" s="67">
        <v>82.0</v>
      </c>
      <c r="H61" s="67">
        <v>6.0</v>
      </c>
      <c r="I61" s="67">
        <v>28.0</v>
      </c>
      <c r="J61" s="67">
        <f t="shared" si="3"/>
        <v>34</v>
      </c>
      <c r="K61" s="71">
        <f t="shared" si="4"/>
        <v>0.4146341463</v>
      </c>
      <c r="L61" s="73">
        <v>6250000.0</v>
      </c>
      <c r="M61" s="74"/>
      <c r="N61" s="74"/>
      <c r="O61" s="67">
        <v>45.0</v>
      </c>
      <c r="P61" s="67" t="s">
        <v>483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67">
        <v>59.0</v>
      </c>
      <c r="B62" s="68" t="s">
        <v>485</v>
      </c>
      <c r="C62" s="69" t="s">
        <v>395</v>
      </c>
      <c r="D62" s="69">
        <v>39.0</v>
      </c>
      <c r="E62" s="68" t="s">
        <v>48</v>
      </c>
      <c r="F62" s="68" t="s">
        <v>49</v>
      </c>
      <c r="G62" s="69">
        <v>80.0</v>
      </c>
      <c r="H62" s="69">
        <v>5.0</v>
      </c>
      <c r="I62" s="69">
        <v>28.0</v>
      </c>
      <c r="J62" s="69">
        <f t="shared" si="3"/>
        <v>33</v>
      </c>
      <c r="K62" s="71">
        <f t="shared" si="4"/>
        <v>0.4125</v>
      </c>
      <c r="L62" s="73">
        <v>4000000.0</v>
      </c>
      <c r="M62" s="74"/>
      <c r="N62" s="74"/>
      <c r="O62" s="67">
        <v>40.0</v>
      </c>
      <c r="P62" s="67" t="s">
        <v>490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67">
        <v>60.0</v>
      </c>
      <c r="B63" s="67" t="s">
        <v>491</v>
      </c>
      <c r="C63" s="69" t="s">
        <v>395</v>
      </c>
      <c r="D63" s="69">
        <v>23.0</v>
      </c>
      <c r="E63" s="68" t="s">
        <v>48</v>
      </c>
      <c r="F63" s="68" t="s">
        <v>114</v>
      </c>
      <c r="G63" s="69">
        <v>76.0</v>
      </c>
      <c r="H63" s="69">
        <v>7.0</v>
      </c>
      <c r="I63" s="69">
        <v>24.0</v>
      </c>
      <c r="J63" s="69">
        <f t="shared" si="3"/>
        <v>31</v>
      </c>
      <c r="K63" s="71">
        <f t="shared" si="4"/>
        <v>0.4078947368</v>
      </c>
      <c r="L63" s="73" t="s">
        <v>283</v>
      </c>
      <c r="M63" s="74"/>
      <c r="N63" s="74"/>
      <c r="O63" s="67">
        <v>40.0</v>
      </c>
      <c r="P63" s="67" t="s">
        <v>493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67">
        <v>61.0</v>
      </c>
      <c r="B64" s="67" t="s">
        <v>496</v>
      </c>
      <c r="C64" s="69" t="s">
        <v>395</v>
      </c>
      <c r="D64" s="67">
        <v>24.0</v>
      </c>
      <c r="E64" s="67" t="s">
        <v>48</v>
      </c>
      <c r="F64" s="67" t="s">
        <v>185</v>
      </c>
      <c r="G64" s="67">
        <v>74.0</v>
      </c>
      <c r="H64" s="67">
        <v>7.0</v>
      </c>
      <c r="I64" s="67">
        <v>23.0</v>
      </c>
      <c r="J64" s="67">
        <f t="shared" si="3"/>
        <v>30</v>
      </c>
      <c r="K64" s="71">
        <f t="shared" si="4"/>
        <v>0.4054054054</v>
      </c>
      <c r="L64" s="73">
        <v>6500000.0</v>
      </c>
      <c r="M64" s="74"/>
      <c r="N64" s="74"/>
      <c r="O64" s="67">
        <v>40.0</v>
      </c>
      <c r="P64" s="67" t="s">
        <v>497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67">
        <v>62.0</v>
      </c>
      <c r="B65" s="67" t="s">
        <v>499</v>
      </c>
      <c r="C65" s="69" t="s">
        <v>395</v>
      </c>
      <c r="D65" s="67">
        <v>30.0</v>
      </c>
      <c r="E65" s="67" t="s">
        <v>48</v>
      </c>
      <c r="F65" s="67" t="s">
        <v>185</v>
      </c>
      <c r="G65" s="67">
        <v>84.0</v>
      </c>
      <c r="H65" s="67">
        <v>7.0</v>
      </c>
      <c r="I65" s="67">
        <v>27.0</v>
      </c>
      <c r="J65" s="67">
        <f t="shared" si="3"/>
        <v>34</v>
      </c>
      <c r="K65" s="71">
        <f t="shared" si="4"/>
        <v>0.4047619048</v>
      </c>
      <c r="L65" s="73">
        <v>6250000.0</v>
      </c>
      <c r="M65" s="74"/>
      <c r="N65" s="74"/>
      <c r="O65" s="67">
        <v>40.0</v>
      </c>
      <c r="P65" s="67" t="s">
        <v>503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67">
        <v>63.0</v>
      </c>
      <c r="B66" s="68" t="s">
        <v>504</v>
      </c>
      <c r="C66" s="69" t="s">
        <v>395</v>
      </c>
      <c r="D66" s="69">
        <v>41.0</v>
      </c>
      <c r="E66" s="68" t="s">
        <v>48</v>
      </c>
      <c r="F66" s="68" t="s">
        <v>64</v>
      </c>
      <c r="G66" s="69">
        <v>84.0</v>
      </c>
      <c r="H66" s="69">
        <v>10.0</v>
      </c>
      <c r="I66" s="69">
        <v>24.0</v>
      </c>
      <c r="J66" s="69">
        <f t="shared" si="3"/>
        <v>34</v>
      </c>
      <c r="K66" s="71">
        <f t="shared" si="4"/>
        <v>0.4047619048</v>
      </c>
      <c r="L66" s="73">
        <v>850000.0</v>
      </c>
      <c r="M66" s="74"/>
      <c r="N66" s="74"/>
      <c r="O66" s="67">
        <v>40.0</v>
      </c>
      <c r="P66" s="67" t="s">
        <v>507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67">
        <v>64.0</v>
      </c>
      <c r="B67" s="68" t="s">
        <v>508</v>
      </c>
      <c r="C67" s="69" t="s">
        <v>395</v>
      </c>
      <c r="D67" s="69">
        <v>29.0</v>
      </c>
      <c r="E67" s="68" t="s">
        <v>48</v>
      </c>
      <c r="F67" s="68" t="s">
        <v>73</v>
      </c>
      <c r="G67" s="69">
        <v>84.0</v>
      </c>
      <c r="H67" s="69">
        <v>8.0</v>
      </c>
      <c r="I67" s="69">
        <v>26.0</v>
      </c>
      <c r="J67" s="69">
        <f t="shared" si="3"/>
        <v>34</v>
      </c>
      <c r="K67" s="71">
        <f t="shared" si="4"/>
        <v>0.4047619048</v>
      </c>
      <c r="L67" s="73">
        <v>8500000.0</v>
      </c>
      <c r="M67" s="74"/>
      <c r="N67" s="74"/>
      <c r="O67" s="67">
        <v>35.0</v>
      </c>
      <c r="P67" s="67" t="s">
        <v>512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67">
        <v>65.0</v>
      </c>
      <c r="B68" s="68" t="s">
        <v>515</v>
      </c>
      <c r="C68" s="69" t="s">
        <v>395</v>
      </c>
      <c r="D68" s="69">
        <v>26.0</v>
      </c>
      <c r="E68" s="68" t="s">
        <v>48</v>
      </c>
      <c r="F68" s="68" t="s">
        <v>98</v>
      </c>
      <c r="G68" s="69">
        <v>70.0</v>
      </c>
      <c r="H68" s="69">
        <v>5.0</v>
      </c>
      <c r="I68" s="69">
        <v>23.0</v>
      </c>
      <c r="J68" s="69">
        <f t="shared" si="3"/>
        <v>28</v>
      </c>
      <c r="K68" s="71">
        <f t="shared" si="4"/>
        <v>0.4</v>
      </c>
      <c r="L68" s="73">
        <v>4285714.0</v>
      </c>
      <c r="M68" s="67" t="s">
        <v>77</v>
      </c>
      <c r="N68" s="74"/>
      <c r="O68" s="67">
        <v>40.0</v>
      </c>
      <c r="P68" s="67" t="s">
        <v>518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67">
        <v>66.0</v>
      </c>
      <c r="B69" s="67" t="s">
        <v>521</v>
      </c>
      <c r="C69" s="69" t="s">
        <v>395</v>
      </c>
      <c r="D69" s="67">
        <v>28.0</v>
      </c>
      <c r="E69" s="67" t="s">
        <v>48</v>
      </c>
      <c r="F69" s="67" t="s">
        <v>124</v>
      </c>
      <c r="G69" s="67">
        <v>80.0</v>
      </c>
      <c r="H69" s="67">
        <v>5.0</v>
      </c>
      <c r="I69" s="67">
        <v>27.0</v>
      </c>
      <c r="J69" s="67">
        <f t="shared" si="3"/>
        <v>32</v>
      </c>
      <c r="K69" s="71">
        <f t="shared" si="4"/>
        <v>0.4</v>
      </c>
      <c r="L69" s="73">
        <v>875000.0</v>
      </c>
      <c r="M69" s="74"/>
      <c r="N69" s="67" t="s">
        <v>77</v>
      </c>
      <c r="O69" s="67">
        <v>40.0</v>
      </c>
      <c r="P69" s="67" t="s">
        <v>525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67">
        <v>67.0</v>
      </c>
      <c r="B70" s="67" t="s">
        <v>527</v>
      </c>
      <c r="C70" s="69" t="s">
        <v>395</v>
      </c>
      <c r="D70" s="67">
        <v>29.0</v>
      </c>
      <c r="E70" s="67" t="s">
        <v>48</v>
      </c>
      <c r="F70" s="67" t="s">
        <v>170</v>
      </c>
      <c r="G70" s="67">
        <v>75.0</v>
      </c>
      <c r="H70" s="67">
        <v>5.0</v>
      </c>
      <c r="I70" s="67">
        <v>25.0</v>
      </c>
      <c r="J70" s="67">
        <f t="shared" si="3"/>
        <v>30</v>
      </c>
      <c r="K70" s="71">
        <f t="shared" si="4"/>
        <v>0.4</v>
      </c>
      <c r="L70" s="73">
        <v>7350000.0</v>
      </c>
      <c r="M70" s="67"/>
      <c r="N70" s="74"/>
      <c r="O70" s="67">
        <v>35.0</v>
      </c>
      <c r="P70" s="67" t="s">
        <v>529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67">
        <v>68.0</v>
      </c>
      <c r="B71" s="67" t="s">
        <v>531</v>
      </c>
      <c r="C71" s="69" t="s">
        <v>395</v>
      </c>
      <c r="D71" s="67">
        <v>30.0</v>
      </c>
      <c r="E71" s="67" t="s">
        <v>48</v>
      </c>
      <c r="F71" s="67" t="s">
        <v>71</v>
      </c>
      <c r="G71" s="67">
        <v>65.0</v>
      </c>
      <c r="H71" s="67">
        <v>5.0</v>
      </c>
      <c r="I71" s="67">
        <v>21.0</v>
      </c>
      <c r="J71" s="67">
        <f t="shared" si="3"/>
        <v>26</v>
      </c>
      <c r="K71" s="71">
        <f t="shared" si="4"/>
        <v>0.4</v>
      </c>
      <c r="L71" s="73">
        <v>7000000.0</v>
      </c>
      <c r="M71" s="67" t="s">
        <v>77</v>
      </c>
      <c r="N71" s="67" t="s">
        <v>77</v>
      </c>
      <c r="O71" s="67">
        <v>40.0</v>
      </c>
      <c r="P71" s="67" t="s">
        <v>533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67">
        <v>69.0</v>
      </c>
      <c r="B72" s="68" t="s">
        <v>535</v>
      </c>
      <c r="C72" s="69" t="s">
        <v>395</v>
      </c>
      <c r="D72" s="133">
        <v>30.0</v>
      </c>
      <c r="E72" s="68" t="s">
        <v>48</v>
      </c>
      <c r="F72" s="68" t="s">
        <v>181</v>
      </c>
      <c r="G72" s="69">
        <v>80.0</v>
      </c>
      <c r="H72" s="69">
        <v>6.0</v>
      </c>
      <c r="I72" s="69">
        <v>26.0</v>
      </c>
      <c r="J72" s="69">
        <f t="shared" si="3"/>
        <v>32</v>
      </c>
      <c r="K72" s="71">
        <f t="shared" si="4"/>
        <v>0.4</v>
      </c>
      <c r="L72" s="73">
        <v>5750000.0</v>
      </c>
      <c r="M72" s="74"/>
      <c r="N72" s="74"/>
      <c r="O72" s="67">
        <v>40.0</v>
      </c>
      <c r="P72" s="67" t="s">
        <v>537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67">
        <v>70.0</v>
      </c>
      <c r="B73" s="68" t="s">
        <v>539</v>
      </c>
      <c r="C73" s="69" t="s">
        <v>395</v>
      </c>
      <c r="D73" s="69">
        <v>30.0</v>
      </c>
      <c r="E73" s="68" t="s">
        <v>48</v>
      </c>
      <c r="F73" s="68" t="s">
        <v>181</v>
      </c>
      <c r="G73" s="69">
        <v>70.0</v>
      </c>
      <c r="H73" s="69">
        <v>4.0</v>
      </c>
      <c r="I73" s="69">
        <v>24.0</v>
      </c>
      <c r="J73" s="69">
        <f t="shared" si="3"/>
        <v>28</v>
      </c>
      <c r="K73" s="71">
        <f t="shared" si="4"/>
        <v>0.4</v>
      </c>
      <c r="L73" s="73">
        <v>6100000.0</v>
      </c>
      <c r="M73" s="67" t="s">
        <v>77</v>
      </c>
      <c r="N73" s="67" t="s">
        <v>77</v>
      </c>
      <c r="O73" s="67">
        <v>50.0</v>
      </c>
      <c r="P73" s="67" t="s">
        <v>541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67">
        <v>71.0</v>
      </c>
      <c r="B74" s="68" t="s">
        <v>542</v>
      </c>
      <c r="C74" s="69" t="s">
        <v>395</v>
      </c>
      <c r="D74" s="69">
        <v>30.0</v>
      </c>
      <c r="E74" s="68" t="s">
        <v>48</v>
      </c>
      <c r="F74" s="68" t="s">
        <v>49</v>
      </c>
      <c r="G74" s="69">
        <v>60.0</v>
      </c>
      <c r="H74" s="69">
        <v>6.0</v>
      </c>
      <c r="I74" s="69">
        <v>18.0</v>
      </c>
      <c r="J74" s="69">
        <f t="shared" si="3"/>
        <v>24</v>
      </c>
      <c r="K74" s="71">
        <f t="shared" si="4"/>
        <v>0.4</v>
      </c>
      <c r="L74" s="73">
        <v>7000000.0</v>
      </c>
      <c r="M74" s="67" t="s">
        <v>77</v>
      </c>
      <c r="N74" s="67" t="s">
        <v>77</v>
      </c>
      <c r="O74" s="67">
        <v>40.0</v>
      </c>
      <c r="P74" s="67" t="s">
        <v>545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67">
        <v>72.0</v>
      </c>
      <c r="B75" s="68" t="s">
        <v>547</v>
      </c>
      <c r="C75" s="69" t="s">
        <v>395</v>
      </c>
      <c r="D75" s="69">
        <v>32.0</v>
      </c>
      <c r="E75" s="68" t="s">
        <v>48</v>
      </c>
      <c r="F75" s="68" t="s">
        <v>109</v>
      </c>
      <c r="G75" s="69">
        <v>81.0</v>
      </c>
      <c r="H75" s="69">
        <v>6.0</v>
      </c>
      <c r="I75" s="69">
        <v>26.0</v>
      </c>
      <c r="J75" s="69">
        <f t="shared" si="3"/>
        <v>32</v>
      </c>
      <c r="K75" s="71">
        <f t="shared" si="4"/>
        <v>0.3950617284</v>
      </c>
      <c r="L75" s="73">
        <v>6000000.0</v>
      </c>
      <c r="M75" s="74"/>
      <c r="N75" s="67" t="s">
        <v>77</v>
      </c>
      <c r="O75" s="67">
        <v>45.0</v>
      </c>
      <c r="P75" s="67" t="s">
        <v>550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67">
        <v>73.0</v>
      </c>
      <c r="B76" s="68" t="s">
        <v>551</v>
      </c>
      <c r="C76" s="69" t="s">
        <v>552</v>
      </c>
      <c r="D76" s="69">
        <v>22.0</v>
      </c>
      <c r="E76" s="68" t="s">
        <v>48</v>
      </c>
      <c r="F76" s="68" t="s">
        <v>73</v>
      </c>
      <c r="G76" s="69">
        <v>84.0</v>
      </c>
      <c r="H76" s="69">
        <v>8.0</v>
      </c>
      <c r="I76" s="69">
        <v>25.0</v>
      </c>
      <c r="J76" s="69">
        <f t="shared" si="3"/>
        <v>33</v>
      </c>
      <c r="K76" s="71">
        <f t="shared" si="4"/>
        <v>0.3928571429</v>
      </c>
      <c r="L76" s="73">
        <v>886666.0</v>
      </c>
      <c r="M76" s="74"/>
      <c r="N76" s="74"/>
      <c r="O76" s="67">
        <v>45.0</v>
      </c>
      <c r="P76" s="67" t="s">
        <v>555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67">
        <v>74.0</v>
      </c>
      <c r="B77" s="67" t="s">
        <v>558</v>
      </c>
      <c r="C77" s="69" t="s">
        <v>552</v>
      </c>
      <c r="D77" s="67">
        <v>23.0</v>
      </c>
      <c r="E77" s="67" t="s">
        <v>48</v>
      </c>
      <c r="F77" s="67" t="s">
        <v>145</v>
      </c>
      <c r="G77" s="67">
        <v>84.0</v>
      </c>
      <c r="H77" s="67">
        <v>7.0</v>
      </c>
      <c r="I77" s="67">
        <v>26.0</v>
      </c>
      <c r="J77" s="67">
        <f t="shared" si="3"/>
        <v>33</v>
      </c>
      <c r="K77" s="71">
        <f t="shared" si="4"/>
        <v>0.3928571429</v>
      </c>
      <c r="L77" s="73">
        <v>850000.0</v>
      </c>
      <c r="M77" s="74"/>
      <c r="N77" s="74"/>
      <c r="O77" s="67">
        <v>40.0</v>
      </c>
      <c r="P77" s="67" t="s">
        <v>560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67">
        <v>75.0</v>
      </c>
      <c r="B78" s="68" t="s">
        <v>562</v>
      </c>
      <c r="C78" s="69" t="s">
        <v>552</v>
      </c>
      <c r="D78" s="69">
        <v>32.0</v>
      </c>
      <c r="E78" s="68" t="s">
        <v>48</v>
      </c>
      <c r="F78" s="68" t="s">
        <v>73</v>
      </c>
      <c r="G78" s="69">
        <v>70.0</v>
      </c>
      <c r="H78" s="69">
        <v>7.0</v>
      </c>
      <c r="I78" s="69">
        <v>20.0</v>
      </c>
      <c r="J78" s="69">
        <f t="shared" si="3"/>
        <v>27</v>
      </c>
      <c r="K78" s="71">
        <f t="shared" si="4"/>
        <v>0.3857142857</v>
      </c>
      <c r="L78" s="73">
        <v>625000.0</v>
      </c>
      <c r="M78" s="67" t="s">
        <v>77</v>
      </c>
      <c r="N78" s="74"/>
      <c r="O78" s="67">
        <v>35.0</v>
      </c>
      <c r="P78" s="67" t="s">
        <v>565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67">
        <v>76.0</v>
      </c>
      <c r="B79" s="68" t="s">
        <v>566</v>
      </c>
      <c r="C79" s="69" t="s">
        <v>552</v>
      </c>
      <c r="D79" s="69">
        <v>32.0</v>
      </c>
      <c r="E79" s="68" t="s">
        <v>48</v>
      </c>
      <c r="F79" s="68" t="s">
        <v>83</v>
      </c>
      <c r="G79" s="69">
        <v>65.0</v>
      </c>
      <c r="H79" s="69">
        <v>5.0</v>
      </c>
      <c r="I79" s="69">
        <v>20.0</v>
      </c>
      <c r="J79" s="69">
        <f t="shared" si="3"/>
        <v>25</v>
      </c>
      <c r="K79" s="71">
        <f t="shared" si="4"/>
        <v>0.3846153846</v>
      </c>
      <c r="L79" s="73">
        <v>6500000.0</v>
      </c>
      <c r="M79" s="67" t="s">
        <v>77</v>
      </c>
      <c r="N79" s="74"/>
      <c r="O79" s="67">
        <v>35.0</v>
      </c>
      <c r="P79" s="67" t="s">
        <v>568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67">
        <v>77.0</v>
      </c>
      <c r="B80" s="67" t="s">
        <v>570</v>
      </c>
      <c r="C80" s="69" t="s">
        <v>552</v>
      </c>
      <c r="D80" s="67">
        <v>20.0</v>
      </c>
      <c r="E80" s="67" t="s">
        <v>48</v>
      </c>
      <c r="F80" s="67" t="s">
        <v>122</v>
      </c>
      <c r="G80" s="67">
        <v>40.0</v>
      </c>
      <c r="H80" s="67">
        <v>3.0</v>
      </c>
      <c r="I80" s="67">
        <v>12.0</v>
      </c>
      <c r="J80" s="67">
        <f t="shared" si="3"/>
        <v>15</v>
      </c>
      <c r="K80" s="71">
        <f t="shared" si="4"/>
        <v>0.375</v>
      </c>
      <c r="L80" s="73">
        <v>941667.0</v>
      </c>
      <c r="M80" s="74"/>
      <c r="N80" s="74"/>
      <c r="O80" s="67">
        <v>35.0</v>
      </c>
      <c r="P80" s="67" t="s">
        <v>572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67">
        <v>78.0</v>
      </c>
      <c r="B81" s="67" t="s">
        <v>575</v>
      </c>
      <c r="C81" s="69" t="s">
        <v>552</v>
      </c>
      <c r="D81" s="67">
        <v>26.0</v>
      </c>
      <c r="E81" s="67" t="s">
        <v>48</v>
      </c>
      <c r="F81" s="67" t="s">
        <v>124</v>
      </c>
      <c r="G81" s="67">
        <v>80.0</v>
      </c>
      <c r="H81" s="67">
        <v>5.0</v>
      </c>
      <c r="I81" s="67">
        <v>25.0</v>
      </c>
      <c r="J81" s="67">
        <f t="shared" si="3"/>
        <v>30</v>
      </c>
      <c r="K81" s="71">
        <f t="shared" si="4"/>
        <v>0.375</v>
      </c>
      <c r="L81" s="73">
        <v>6750000.0</v>
      </c>
      <c r="M81" s="74"/>
      <c r="N81" s="74"/>
      <c r="O81" s="67">
        <v>35.0</v>
      </c>
      <c r="P81" s="67" t="s">
        <v>577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67">
        <v>79.0</v>
      </c>
      <c r="B82" s="67" t="s">
        <v>579</v>
      </c>
      <c r="C82" s="69" t="s">
        <v>552</v>
      </c>
      <c r="D82" s="67">
        <v>32.0</v>
      </c>
      <c r="E82" s="67" t="s">
        <v>48</v>
      </c>
      <c r="F82" s="67" t="s">
        <v>96</v>
      </c>
      <c r="G82" s="67">
        <v>80.0</v>
      </c>
      <c r="H82" s="67">
        <v>6.0</v>
      </c>
      <c r="I82" s="67">
        <v>24.0</v>
      </c>
      <c r="J82" s="67">
        <f t="shared" si="3"/>
        <v>30</v>
      </c>
      <c r="K82" s="71">
        <f t="shared" si="4"/>
        <v>0.375</v>
      </c>
      <c r="L82" s="73">
        <v>8250000.0</v>
      </c>
      <c r="M82" s="74"/>
      <c r="N82" s="74"/>
      <c r="O82" s="67">
        <v>40.0</v>
      </c>
      <c r="P82" s="67" t="s">
        <v>581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67">
        <v>80.0</v>
      </c>
      <c r="B83" s="67" t="s">
        <v>584</v>
      </c>
      <c r="C83" s="69" t="s">
        <v>552</v>
      </c>
      <c r="D83" s="67">
        <v>35.0</v>
      </c>
      <c r="E83" s="67" t="s">
        <v>48</v>
      </c>
      <c r="F83" s="67" t="s">
        <v>157</v>
      </c>
      <c r="G83" s="67">
        <v>80.0</v>
      </c>
      <c r="H83" s="67">
        <v>4.0</v>
      </c>
      <c r="I83" s="67">
        <v>26.0</v>
      </c>
      <c r="J83" s="67">
        <f t="shared" si="3"/>
        <v>30</v>
      </c>
      <c r="K83" s="71">
        <f t="shared" si="4"/>
        <v>0.375</v>
      </c>
      <c r="L83" s="73">
        <v>3500000.0</v>
      </c>
      <c r="M83" s="74"/>
      <c r="N83" s="74"/>
      <c r="O83" s="67">
        <v>40.0</v>
      </c>
      <c r="P83" s="67" t="s">
        <v>585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67">
        <v>81.0</v>
      </c>
      <c r="B84" s="67" t="s">
        <v>587</v>
      </c>
      <c r="C84" s="69" t="s">
        <v>552</v>
      </c>
      <c r="D84" s="67">
        <v>30.0</v>
      </c>
      <c r="E84" s="67" t="s">
        <v>48</v>
      </c>
      <c r="F84" s="67" t="s">
        <v>88</v>
      </c>
      <c r="G84" s="67">
        <v>84.0</v>
      </c>
      <c r="H84" s="67">
        <v>7.0</v>
      </c>
      <c r="I84" s="67">
        <v>24.0</v>
      </c>
      <c r="J84" s="67">
        <f t="shared" si="3"/>
        <v>31</v>
      </c>
      <c r="K84" s="71">
        <f t="shared" si="4"/>
        <v>0.369047619</v>
      </c>
      <c r="L84" s="73">
        <v>7000000.0</v>
      </c>
      <c r="M84" s="74"/>
      <c r="N84" s="74"/>
      <c r="O84" s="67">
        <v>35.0</v>
      </c>
      <c r="P84" s="67" t="s">
        <v>590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67">
        <v>82.0</v>
      </c>
      <c r="B85" s="68" t="s">
        <v>591</v>
      </c>
      <c r="C85" s="69" t="s">
        <v>552</v>
      </c>
      <c r="D85" s="69">
        <v>22.0</v>
      </c>
      <c r="E85" s="68" t="s">
        <v>48</v>
      </c>
      <c r="F85" s="68" t="s">
        <v>192</v>
      </c>
      <c r="G85" s="69">
        <v>60.0</v>
      </c>
      <c r="H85" s="69">
        <v>4.0</v>
      </c>
      <c r="I85" s="69">
        <v>18.0</v>
      </c>
      <c r="J85" s="69">
        <f t="shared" si="3"/>
        <v>22</v>
      </c>
      <c r="K85" s="71">
        <f t="shared" si="4"/>
        <v>0.3666666667</v>
      </c>
      <c r="L85" s="73">
        <v>865000.0</v>
      </c>
      <c r="M85" s="74"/>
      <c r="N85" s="67" t="s">
        <v>77</v>
      </c>
      <c r="O85" s="67">
        <v>35.0</v>
      </c>
      <c r="P85" s="67" t="s">
        <v>595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67">
        <v>83.0</v>
      </c>
      <c r="B86" s="68" t="s">
        <v>596</v>
      </c>
      <c r="C86" s="69" t="s">
        <v>552</v>
      </c>
      <c r="D86" s="69">
        <v>25.0</v>
      </c>
      <c r="E86" s="68" t="s">
        <v>48</v>
      </c>
      <c r="F86" s="68" t="s">
        <v>83</v>
      </c>
      <c r="G86" s="69">
        <v>75.0</v>
      </c>
      <c r="H86" s="69">
        <v>7.0</v>
      </c>
      <c r="I86" s="69">
        <v>20.0</v>
      </c>
      <c r="J86" s="69">
        <f t="shared" si="3"/>
        <v>27</v>
      </c>
      <c r="K86" s="71">
        <f t="shared" si="4"/>
        <v>0.36</v>
      </c>
      <c r="L86" s="73">
        <v>3200000.0</v>
      </c>
      <c r="M86" s="74"/>
      <c r="N86" s="74"/>
      <c r="O86" s="67">
        <v>35.0</v>
      </c>
      <c r="P86" s="67" t="s">
        <v>599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67">
        <v>84.0</v>
      </c>
      <c r="B87" s="67" t="s">
        <v>601</v>
      </c>
      <c r="C87" s="69" t="s">
        <v>552</v>
      </c>
      <c r="D87" s="67">
        <v>25.0</v>
      </c>
      <c r="E87" s="67" t="s">
        <v>48</v>
      </c>
      <c r="F87" s="67" t="s">
        <v>185</v>
      </c>
      <c r="G87" s="67">
        <v>70.0</v>
      </c>
      <c r="H87" s="67">
        <v>4.0</v>
      </c>
      <c r="I87" s="67">
        <v>21.0</v>
      </c>
      <c r="J87" s="67">
        <f t="shared" si="3"/>
        <v>25</v>
      </c>
      <c r="K87" s="71">
        <f t="shared" si="4"/>
        <v>0.3571428571</v>
      </c>
      <c r="L87" s="73">
        <v>5150000.0</v>
      </c>
      <c r="M87" s="74"/>
      <c r="N87" s="74"/>
      <c r="O87" s="67">
        <v>35.0</v>
      </c>
      <c r="P87" s="67" t="s">
        <v>604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67">
        <v>85.0</v>
      </c>
      <c r="B88" s="67" t="s">
        <v>605</v>
      </c>
      <c r="C88" s="69" t="s">
        <v>552</v>
      </c>
      <c r="D88" s="67">
        <v>31.0</v>
      </c>
      <c r="E88" s="67" t="s">
        <v>48</v>
      </c>
      <c r="F88" s="67" t="s">
        <v>122</v>
      </c>
      <c r="G88" s="67">
        <v>70.0</v>
      </c>
      <c r="H88" s="67">
        <v>3.0</v>
      </c>
      <c r="I88" s="67">
        <v>22.0</v>
      </c>
      <c r="J88" s="67">
        <f t="shared" si="3"/>
        <v>25</v>
      </c>
      <c r="K88" s="71">
        <f t="shared" si="4"/>
        <v>0.3571428571</v>
      </c>
      <c r="L88" s="73">
        <v>4600000.0</v>
      </c>
      <c r="M88" s="67" t="s">
        <v>77</v>
      </c>
      <c r="N88" s="74"/>
      <c r="O88" s="67">
        <v>30.0</v>
      </c>
      <c r="P88" s="67" t="s">
        <v>607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67">
        <v>86.0</v>
      </c>
      <c r="B89" s="68" t="s">
        <v>609</v>
      </c>
      <c r="C89" s="69" t="s">
        <v>552</v>
      </c>
      <c r="D89" s="69">
        <v>32.0</v>
      </c>
      <c r="E89" s="68" t="s">
        <v>48</v>
      </c>
      <c r="F89" s="68" t="s">
        <v>43</v>
      </c>
      <c r="G89" s="69">
        <v>84.0</v>
      </c>
      <c r="H89" s="69">
        <v>6.0</v>
      </c>
      <c r="I89" s="69">
        <v>24.0</v>
      </c>
      <c r="J89" s="69">
        <f t="shared" si="3"/>
        <v>30</v>
      </c>
      <c r="K89" s="71">
        <f t="shared" si="4"/>
        <v>0.3571428571</v>
      </c>
      <c r="L89" s="73">
        <v>5250000.0</v>
      </c>
      <c r="M89" s="74"/>
      <c r="N89" s="74"/>
      <c r="O89" s="67">
        <v>35.0</v>
      </c>
      <c r="P89" s="67" t="s">
        <v>611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67">
        <v>87.0</v>
      </c>
      <c r="B90" s="67" t="s">
        <v>613</v>
      </c>
      <c r="C90" s="69" t="s">
        <v>552</v>
      </c>
      <c r="D90" s="67">
        <v>32.0</v>
      </c>
      <c r="E90" s="67" t="s">
        <v>48</v>
      </c>
      <c r="F90" s="67" t="s">
        <v>196</v>
      </c>
      <c r="G90" s="67">
        <v>84.0</v>
      </c>
      <c r="H90" s="67">
        <v>5.0</v>
      </c>
      <c r="I90" s="67">
        <v>25.0</v>
      </c>
      <c r="J90" s="67">
        <f t="shared" si="3"/>
        <v>30</v>
      </c>
      <c r="K90" s="71">
        <f t="shared" si="4"/>
        <v>0.3571428571</v>
      </c>
      <c r="L90" s="73">
        <v>7000000.0</v>
      </c>
      <c r="M90" s="74"/>
      <c r="N90" s="74"/>
      <c r="O90" s="67">
        <v>40.0</v>
      </c>
      <c r="P90" s="67" t="s">
        <v>615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67">
        <v>88.0</v>
      </c>
      <c r="B91" s="68" t="s">
        <v>616</v>
      </c>
      <c r="C91" s="69" t="s">
        <v>552</v>
      </c>
      <c r="D91" s="69">
        <v>36.0</v>
      </c>
      <c r="E91" s="68" t="s">
        <v>48</v>
      </c>
      <c r="F91" s="68" t="s">
        <v>255</v>
      </c>
      <c r="G91" s="69">
        <v>70.0</v>
      </c>
      <c r="H91" s="69">
        <v>5.0</v>
      </c>
      <c r="I91" s="69">
        <v>20.0</v>
      </c>
      <c r="J91" s="69">
        <f t="shared" si="3"/>
        <v>25</v>
      </c>
      <c r="K91" s="71">
        <f t="shared" si="4"/>
        <v>0.3571428571</v>
      </c>
      <c r="L91" s="73">
        <v>1.1E7</v>
      </c>
      <c r="M91" s="74"/>
      <c r="N91" s="74"/>
      <c r="O91" s="67">
        <v>45.0</v>
      </c>
      <c r="P91" s="67" t="s">
        <v>618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67">
        <v>89.0</v>
      </c>
      <c r="B92" s="68" t="s">
        <v>619</v>
      </c>
      <c r="C92" s="69" t="s">
        <v>620</v>
      </c>
      <c r="D92" s="133">
        <v>22.0</v>
      </c>
      <c r="E92" s="68" t="s">
        <v>48</v>
      </c>
      <c r="F92" s="68" t="s">
        <v>225</v>
      </c>
      <c r="G92" s="69">
        <v>70.0</v>
      </c>
      <c r="H92" s="69">
        <v>6.0</v>
      </c>
      <c r="I92" s="69">
        <v>18.0</v>
      </c>
      <c r="J92" s="69">
        <f t="shared" si="3"/>
        <v>24</v>
      </c>
      <c r="K92" s="71">
        <f t="shared" si="4"/>
        <v>0.3428571429</v>
      </c>
      <c r="L92" s="73">
        <v>941667.0</v>
      </c>
      <c r="M92" s="74"/>
      <c r="N92" s="67" t="s">
        <v>77</v>
      </c>
      <c r="O92" s="67">
        <v>35.0</v>
      </c>
      <c r="P92" s="67" t="s">
        <v>621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67">
        <v>90.0</v>
      </c>
      <c r="B93" s="67" t="s">
        <v>623</v>
      </c>
      <c r="C93" s="69" t="s">
        <v>620</v>
      </c>
      <c r="D93" s="67">
        <v>23.0</v>
      </c>
      <c r="E93" s="67" t="s">
        <v>48</v>
      </c>
      <c r="F93" s="67" t="s">
        <v>196</v>
      </c>
      <c r="G93" s="67">
        <v>65.0</v>
      </c>
      <c r="H93" s="67">
        <v>3.0</v>
      </c>
      <c r="I93" s="67">
        <v>19.0</v>
      </c>
      <c r="J93" s="67">
        <f t="shared" si="3"/>
        <v>22</v>
      </c>
      <c r="K93" s="71">
        <f t="shared" si="4"/>
        <v>0.3384615385</v>
      </c>
      <c r="L93" s="73">
        <v>942500.0</v>
      </c>
      <c r="M93" s="74"/>
      <c r="N93" s="67" t="s">
        <v>77</v>
      </c>
      <c r="O93" s="67">
        <v>40.0</v>
      </c>
      <c r="P93" s="67" t="s">
        <v>627</v>
      </c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</row>
    <row r="94">
      <c r="A94" s="67">
        <v>91.0</v>
      </c>
      <c r="B94" s="67" t="s">
        <v>628</v>
      </c>
      <c r="C94" s="69" t="s">
        <v>620</v>
      </c>
      <c r="D94" s="67">
        <v>21.0</v>
      </c>
      <c r="E94" s="67" t="s">
        <v>48</v>
      </c>
      <c r="F94" s="67" t="s">
        <v>261</v>
      </c>
      <c r="G94" s="67">
        <v>80.0</v>
      </c>
      <c r="H94" s="67">
        <v>5.0</v>
      </c>
      <c r="I94" s="67">
        <v>22.0</v>
      </c>
      <c r="J94" s="67">
        <f t="shared" si="3"/>
        <v>27</v>
      </c>
      <c r="K94" s="71">
        <f t="shared" si="4"/>
        <v>0.3375</v>
      </c>
      <c r="L94" s="73">
        <v>972500.0</v>
      </c>
      <c r="M94" s="74"/>
      <c r="N94" s="67" t="s">
        <v>77</v>
      </c>
      <c r="O94" s="67">
        <v>40.0</v>
      </c>
      <c r="P94" s="67" t="s">
        <v>631</v>
      </c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</row>
    <row r="95">
      <c r="A95" s="67">
        <v>92.0</v>
      </c>
      <c r="B95" s="68" t="s">
        <v>632</v>
      </c>
      <c r="C95" s="69" t="s">
        <v>620</v>
      </c>
      <c r="D95" s="69">
        <v>34.0</v>
      </c>
      <c r="E95" s="68" t="s">
        <v>48</v>
      </c>
      <c r="F95" s="68" t="s">
        <v>64</v>
      </c>
      <c r="G95" s="69">
        <v>80.0</v>
      </c>
      <c r="H95" s="69">
        <v>3.0</v>
      </c>
      <c r="I95" s="69">
        <v>23.0</v>
      </c>
      <c r="J95" s="69">
        <f t="shared" si="3"/>
        <v>26</v>
      </c>
      <c r="K95" s="71">
        <f t="shared" si="4"/>
        <v>0.325</v>
      </c>
      <c r="L95" s="73">
        <v>3900000.0</v>
      </c>
      <c r="M95" s="67" t="s">
        <v>77</v>
      </c>
      <c r="N95" s="74"/>
      <c r="O95" s="67">
        <v>30.0</v>
      </c>
      <c r="P95" s="67" t="s">
        <v>635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67">
        <v>93.0</v>
      </c>
      <c r="B96" s="203" t="s">
        <v>636</v>
      </c>
      <c r="C96" s="69" t="s">
        <v>620</v>
      </c>
      <c r="D96" s="69">
        <v>26.0</v>
      </c>
      <c r="E96" s="68" t="s">
        <v>48</v>
      </c>
      <c r="F96" s="67" t="s">
        <v>235</v>
      </c>
      <c r="G96" s="69">
        <v>70.0</v>
      </c>
      <c r="H96" s="69">
        <v>5.0</v>
      </c>
      <c r="I96" s="69">
        <v>22.0</v>
      </c>
      <c r="J96" s="69">
        <f t="shared" si="3"/>
        <v>27</v>
      </c>
      <c r="K96" s="71">
        <f t="shared" si="4"/>
        <v>0.3857142857</v>
      </c>
      <c r="L96" s="73">
        <v>4600000.0</v>
      </c>
      <c r="M96" s="67" t="s">
        <v>77</v>
      </c>
      <c r="N96" s="74"/>
      <c r="O96" s="67">
        <v>35.0</v>
      </c>
      <c r="P96" s="67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67">
        <v>94.0</v>
      </c>
      <c r="B97" s="67" t="s">
        <v>639</v>
      </c>
      <c r="C97" s="69" t="s">
        <v>620</v>
      </c>
      <c r="D97" s="67">
        <v>28.0</v>
      </c>
      <c r="E97" s="67" t="s">
        <v>48</v>
      </c>
      <c r="F97" s="67" t="s">
        <v>228</v>
      </c>
      <c r="G97" s="67">
        <v>65.0</v>
      </c>
      <c r="H97" s="67">
        <v>3.0</v>
      </c>
      <c r="I97" s="67">
        <v>18.0</v>
      </c>
      <c r="J97" s="67">
        <f t="shared" si="3"/>
        <v>21</v>
      </c>
      <c r="K97" s="71">
        <f t="shared" si="4"/>
        <v>0.3230769231</v>
      </c>
      <c r="L97" s="73">
        <v>5000000.0</v>
      </c>
      <c r="M97" s="67" t="s">
        <v>77</v>
      </c>
      <c r="N97" s="74"/>
      <c r="O97" s="67">
        <v>40.0</v>
      </c>
      <c r="P97" s="67" t="s">
        <v>641</v>
      </c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</row>
    <row r="98">
      <c r="A98" s="67">
        <v>95.0</v>
      </c>
      <c r="B98" s="68" t="s">
        <v>643</v>
      </c>
      <c r="C98" s="69" t="s">
        <v>620</v>
      </c>
      <c r="D98" s="69">
        <v>20.0</v>
      </c>
      <c r="E98" s="68" t="s">
        <v>48</v>
      </c>
      <c r="F98" s="68" t="s">
        <v>225</v>
      </c>
      <c r="G98" s="69">
        <v>84.0</v>
      </c>
      <c r="H98" s="69">
        <v>5.0</v>
      </c>
      <c r="I98" s="69">
        <v>22.0</v>
      </c>
      <c r="J98" s="69">
        <f t="shared" si="3"/>
        <v>27</v>
      </c>
      <c r="K98" s="71">
        <f t="shared" si="4"/>
        <v>0.3214285714</v>
      </c>
      <c r="L98" s="73">
        <v>975000.0</v>
      </c>
      <c r="M98" s="74"/>
      <c r="N98" s="74"/>
      <c r="O98" s="67">
        <v>45.0</v>
      </c>
      <c r="P98" s="67" t="s">
        <v>644</v>
      </c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</row>
    <row r="99">
      <c r="A99" s="67">
        <v>96.0</v>
      </c>
      <c r="B99" s="68" t="s">
        <v>646</v>
      </c>
      <c r="C99" s="69" t="s">
        <v>620</v>
      </c>
      <c r="D99" s="69">
        <v>21.0</v>
      </c>
      <c r="E99" s="68" t="s">
        <v>48</v>
      </c>
      <c r="F99" s="68" t="s">
        <v>114</v>
      </c>
      <c r="G99" s="69">
        <v>72.0</v>
      </c>
      <c r="H99" s="69">
        <v>6.0</v>
      </c>
      <c r="I99" s="69">
        <v>17.0</v>
      </c>
      <c r="J99" s="69">
        <f t="shared" si="3"/>
        <v>23</v>
      </c>
      <c r="K99" s="71">
        <f t="shared" si="4"/>
        <v>0.3194444444</v>
      </c>
      <c r="L99" s="73">
        <v>940433.0</v>
      </c>
      <c r="M99" s="74"/>
      <c r="N99" s="74"/>
      <c r="O99" s="67">
        <v>50.0</v>
      </c>
      <c r="P99" s="67" t="s">
        <v>648</v>
      </c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</row>
    <row r="100">
      <c r="A100" s="67">
        <v>97.0</v>
      </c>
      <c r="B100" s="68" t="s">
        <v>650</v>
      </c>
      <c r="C100" s="69" t="s">
        <v>620</v>
      </c>
      <c r="D100" s="69">
        <v>36.0</v>
      </c>
      <c r="E100" s="68" t="s">
        <v>48</v>
      </c>
      <c r="F100" s="68" t="s">
        <v>54</v>
      </c>
      <c r="G100" s="69">
        <v>65.0</v>
      </c>
      <c r="H100" s="69">
        <v>6.0</v>
      </c>
      <c r="I100" s="69">
        <v>14.0</v>
      </c>
      <c r="J100" s="69">
        <f t="shared" si="3"/>
        <v>20</v>
      </c>
      <c r="K100" s="71">
        <f t="shared" si="4"/>
        <v>0.3076923077</v>
      </c>
      <c r="L100" s="73">
        <v>7575000.0</v>
      </c>
      <c r="M100" s="67" t="s">
        <v>77</v>
      </c>
      <c r="N100" s="74"/>
      <c r="O100" s="67">
        <v>35.0</v>
      </c>
      <c r="P100" s="67" t="s">
        <v>652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67">
        <v>98.0</v>
      </c>
      <c r="B101" s="68" t="s">
        <v>653</v>
      </c>
      <c r="C101" s="69" t="s">
        <v>620</v>
      </c>
      <c r="D101" s="69">
        <v>23.0</v>
      </c>
      <c r="E101" s="68" t="s">
        <v>48</v>
      </c>
      <c r="F101" s="68" t="s">
        <v>98</v>
      </c>
      <c r="G101" s="69">
        <v>76.0</v>
      </c>
      <c r="H101" s="69">
        <v>7.0</v>
      </c>
      <c r="I101" s="69">
        <v>16.0</v>
      </c>
      <c r="J101" s="69">
        <f t="shared" si="3"/>
        <v>23</v>
      </c>
      <c r="K101" s="71">
        <f t="shared" si="4"/>
        <v>0.3026315789</v>
      </c>
      <c r="L101" s="73">
        <v>3100000.0</v>
      </c>
      <c r="M101" s="74"/>
      <c r="N101" s="67" t="s">
        <v>77</v>
      </c>
      <c r="O101" s="67">
        <v>40.0</v>
      </c>
      <c r="P101" s="67" t="s">
        <v>656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67">
        <v>99.0</v>
      </c>
      <c r="B102" s="67" t="s">
        <v>657</v>
      </c>
      <c r="C102" s="69" t="s">
        <v>620</v>
      </c>
      <c r="D102" s="67">
        <v>24.0</v>
      </c>
      <c r="E102" s="67" t="s">
        <v>48</v>
      </c>
      <c r="F102" s="67" t="s">
        <v>269</v>
      </c>
      <c r="G102" s="67">
        <v>70.0</v>
      </c>
      <c r="H102" s="67">
        <v>6.0</v>
      </c>
      <c r="I102" s="67">
        <v>15.0</v>
      </c>
      <c r="J102" s="67">
        <f t="shared" si="3"/>
        <v>21</v>
      </c>
      <c r="K102" s="71">
        <f t="shared" si="4"/>
        <v>0.3</v>
      </c>
      <c r="L102" s="73">
        <v>2050000.0</v>
      </c>
      <c r="M102" s="67" t="s">
        <v>77</v>
      </c>
      <c r="N102" s="74"/>
      <c r="O102" s="67">
        <v>35.0</v>
      </c>
      <c r="P102" s="67" t="s">
        <v>659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67">
        <v>100.0</v>
      </c>
      <c r="B103" s="68" t="s">
        <v>660</v>
      </c>
      <c r="C103" s="69" t="s">
        <v>620</v>
      </c>
      <c r="D103" s="69">
        <v>31.0</v>
      </c>
      <c r="E103" s="68" t="s">
        <v>48</v>
      </c>
      <c r="F103" s="68" t="s">
        <v>155</v>
      </c>
      <c r="G103" s="69">
        <v>84.0</v>
      </c>
      <c r="H103" s="69">
        <v>7.0</v>
      </c>
      <c r="I103" s="69">
        <v>18.0</v>
      </c>
      <c r="J103" s="69">
        <f t="shared" si="3"/>
        <v>25</v>
      </c>
      <c r="K103" s="71">
        <f t="shared" si="4"/>
        <v>0.2976190476</v>
      </c>
      <c r="L103" s="73">
        <v>3625000.0</v>
      </c>
      <c r="M103" s="74"/>
      <c r="N103" s="74"/>
      <c r="O103" s="67">
        <v>30.0</v>
      </c>
      <c r="P103" s="67" t="s">
        <v>662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67">
        <v>101.0</v>
      </c>
      <c r="B104" s="67" t="s">
        <v>664</v>
      </c>
      <c r="C104" s="69" t="s">
        <v>620</v>
      </c>
      <c r="D104" s="67">
        <v>20.0</v>
      </c>
      <c r="E104" s="67" t="s">
        <v>48</v>
      </c>
      <c r="F104" s="67" t="s">
        <v>96</v>
      </c>
      <c r="G104" s="67">
        <v>84.0</v>
      </c>
      <c r="H104" s="67">
        <v>5.0</v>
      </c>
      <c r="I104" s="67">
        <v>20.0</v>
      </c>
      <c r="J104" s="67">
        <f t="shared" si="3"/>
        <v>25</v>
      </c>
      <c r="K104" s="71">
        <f t="shared" si="4"/>
        <v>0.2976190476</v>
      </c>
      <c r="L104" s="73">
        <v>953750.0</v>
      </c>
      <c r="M104" s="74"/>
      <c r="N104" s="74"/>
      <c r="O104" s="67">
        <v>35.0</v>
      </c>
      <c r="P104" s="67" t="s">
        <v>666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67">
        <v>102.0</v>
      </c>
      <c r="B105" s="68" t="s">
        <v>669</v>
      </c>
      <c r="C105" s="69" t="s">
        <v>670</v>
      </c>
      <c r="D105" s="69">
        <v>22.0</v>
      </c>
      <c r="E105" s="68" t="s">
        <v>48</v>
      </c>
      <c r="F105" s="68" t="s">
        <v>192</v>
      </c>
      <c r="G105" s="69">
        <v>80.0</v>
      </c>
      <c r="H105" s="69">
        <v>6.0</v>
      </c>
      <c r="I105" s="69">
        <v>16.0</v>
      </c>
      <c r="J105" s="69">
        <f t="shared" si="3"/>
        <v>22</v>
      </c>
      <c r="K105" s="71">
        <f t="shared" si="4"/>
        <v>0.275</v>
      </c>
      <c r="L105" s="73">
        <v>7200000.0</v>
      </c>
      <c r="M105" s="74"/>
      <c r="N105" s="74"/>
      <c r="O105" s="67">
        <v>30.0</v>
      </c>
      <c r="P105" s="67" t="s">
        <v>672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67">
        <v>103.0</v>
      </c>
      <c r="B106" s="67" t="s">
        <v>674</v>
      </c>
      <c r="C106" s="69" t="s">
        <v>670</v>
      </c>
      <c r="D106" s="67">
        <v>21.0</v>
      </c>
      <c r="E106" s="67" t="s">
        <v>48</v>
      </c>
      <c r="F106" s="67" t="s">
        <v>185</v>
      </c>
      <c r="G106" s="67">
        <v>55.0</v>
      </c>
      <c r="H106" s="67">
        <v>2.0</v>
      </c>
      <c r="I106" s="67">
        <v>13.0</v>
      </c>
      <c r="J106" s="67">
        <f t="shared" si="3"/>
        <v>15</v>
      </c>
      <c r="K106" s="71">
        <f t="shared" si="4"/>
        <v>0.2727272727</v>
      </c>
      <c r="L106" s="73">
        <v>909166.0</v>
      </c>
      <c r="M106" s="74"/>
      <c r="N106" s="74"/>
      <c r="O106" s="67">
        <v>30.0</v>
      </c>
      <c r="P106" s="67" t="s">
        <v>676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67">
        <v>104.0</v>
      </c>
      <c r="B107" s="68" t="s">
        <v>678</v>
      </c>
      <c r="C107" s="69" t="s">
        <v>670</v>
      </c>
      <c r="D107" s="69">
        <v>30.0</v>
      </c>
      <c r="E107" s="68" t="s">
        <v>48</v>
      </c>
      <c r="F107" s="68" t="s">
        <v>181</v>
      </c>
      <c r="G107" s="69">
        <v>70.0</v>
      </c>
      <c r="H107" s="69">
        <v>4.0</v>
      </c>
      <c r="I107" s="69">
        <v>15.0</v>
      </c>
      <c r="J107" s="69">
        <f t="shared" si="3"/>
        <v>19</v>
      </c>
      <c r="K107" s="71">
        <f t="shared" si="4"/>
        <v>0.2714285714</v>
      </c>
      <c r="L107" s="73">
        <v>875000.0</v>
      </c>
      <c r="M107" s="74"/>
      <c r="N107" s="74"/>
      <c r="O107" s="67">
        <v>30.0</v>
      </c>
      <c r="P107" s="67" t="s">
        <v>679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67">
        <v>105.0</v>
      </c>
      <c r="B108" s="67" t="s">
        <v>681</v>
      </c>
      <c r="C108" s="69" t="s">
        <v>670</v>
      </c>
      <c r="D108" s="67">
        <v>18.0</v>
      </c>
      <c r="E108" s="67" t="s">
        <v>48</v>
      </c>
      <c r="F108" s="67" t="s">
        <v>269</v>
      </c>
      <c r="G108" s="67">
        <v>9.0</v>
      </c>
      <c r="H108" s="67">
        <v>1.0</v>
      </c>
      <c r="I108" s="67">
        <v>1.0</v>
      </c>
      <c r="J108" s="67">
        <f t="shared" si="3"/>
        <v>2</v>
      </c>
      <c r="K108" s="71">
        <f t="shared" si="4"/>
        <v>0.2222222222</v>
      </c>
      <c r="L108" s="73" t="s">
        <v>283</v>
      </c>
      <c r="M108" s="74"/>
      <c r="N108" s="74"/>
      <c r="O108" s="67">
        <v>35.0</v>
      </c>
      <c r="P108" s="67" t="s">
        <v>684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204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204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204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204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204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204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204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204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204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204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204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204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204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204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204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204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204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204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2"/>
      <c r="B127" s="12"/>
      <c r="C127" s="12"/>
      <c r="D127" s="12"/>
      <c r="E127" s="12"/>
      <c r="F127" s="62"/>
      <c r="G127" s="12"/>
      <c r="H127" s="12"/>
      <c r="I127" s="12"/>
      <c r="J127" s="12"/>
      <c r="K127" s="12"/>
      <c r="L127" s="204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2"/>
      <c r="B128" s="12"/>
      <c r="C128" s="12"/>
      <c r="D128" s="12"/>
      <c r="E128" s="12"/>
      <c r="F128" s="62"/>
      <c r="G128" s="12"/>
      <c r="H128" s="12"/>
      <c r="I128" s="12"/>
      <c r="J128" s="12"/>
      <c r="K128" s="12"/>
      <c r="L128" s="204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204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204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204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204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2"/>
      <c r="B133" s="12"/>
      <c r="C133" s="12"/>
      <c r="D133" s="12"/>
      <c r="E133" s="12"/>
      <c r="F133" s="62"/>
      <c r="G133" s="12"/>
      <c r="H133" s="12"/>
      <c r="I133" s="12"/>
      <c r="J133" s="12"/>
      <c r="K133" s="12"/>
      <c r="L133" s="204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2"/>
      <c r="B134" s="12"/>
      <c r="C134" s="12"/>
      <c r="D134" s="12"/>
      <c r="E134" s="12"/>
      <c r="F134" s="62"/>
      <c r="G134" s="12"/>
      <c r="H134" s="12"/>
      <c r="I134" s="12"/>
      <c r="J134" s="12"/>
      <c r="K134" s="12"/>
      <c r="L134" s="204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2"/>
      <c r="B135" s="12"/>
      <c r="C135" s="12"/>
      <c r="D135" s="12"/>
      <c r="E135" s="12"/>
      <c r="F135" s="62"/>
      <c r="G135" s="12"/>
      <c r="H135" s="12"/>
      <c r="I135" s="12"/>
      <c r="J135" s="12"/>
      <c r="K135" s="12"/>
      <c r="L135" s="204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2"/>
      <c r="B136" s="12"/>
      <c r="C136" s="12"/>
      <c r="D136" s="12"/>
      <c r="E136" s="12"/>
      <c r="F136" s="62"/>
      <c r="G136" s="12"/>
      <c r="H136" s="12"/>
      <c r="I136" s="12"/>
      <c r="J136" s="12"/>
      <c r="K136" s="12"/>
      <c r="L136" s="204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2"/>
      <c r="B137" s="12"/>
      <c r="C137" s="12"/>
      <c r="D137" s="12"/>
      <c r="E137" s="12"/>
      <c r="F137" s="62"/>
      <c r="G137" s="12"/>
      <c r="H137" s="12"/>
      <c r="I137" s="12"/>
      <c r="J137" s="12"/>
      <c r="K137" s="12"/>
      <c r="L137" s="204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2"/>
      <c r="B138" s="12"/>
      <c r="C138" s="12"/>
      <c r="D138" s="12"/>
      <c r="E138" s="12"/>
      <c r="F138" s="62"/>
      <c r="G138" s="12"/>
      <c r="H138" s="12"/>
      <c r="I138" s="12"/>
      <c r="J138" s="12"/>
      <c r="K138" s="12"/>
      <c r="L138" s="204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204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204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204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204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204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204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204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204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204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204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204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204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204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204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204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204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204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204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204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204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204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204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204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204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204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204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204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204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204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204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204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204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204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204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204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204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204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204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204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204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204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204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204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204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204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204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204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204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204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204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204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204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204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204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204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204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204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204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204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204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204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204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204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204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204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204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204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204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204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204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204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204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204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204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204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204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204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204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204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204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204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204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204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204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204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204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204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204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204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204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204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204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204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204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204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204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204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204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204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204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204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204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204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204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204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204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204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204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204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204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204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204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204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204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204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204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204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204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204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204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204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204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204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204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204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204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204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204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204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204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204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204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204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204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204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204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204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204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204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204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204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204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204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204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204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204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204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204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204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204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204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204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204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204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204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204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204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204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204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204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204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204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204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204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204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204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204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204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204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204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204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204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204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204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204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204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204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204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204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204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204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204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204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204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204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204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204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204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204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204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204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204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204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204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204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204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204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204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204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204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204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204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204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204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204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204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204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204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204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204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204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204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204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204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204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204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204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204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204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204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204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204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204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204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204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204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204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204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204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204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204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204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204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204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204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204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204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204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204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204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204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204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204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204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204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204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204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204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204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204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204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204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204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204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204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204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204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204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204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204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204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204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204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204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204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204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204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204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204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204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204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204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204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204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204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204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204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204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204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204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204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204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204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204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204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204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204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204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204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204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204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204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204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204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204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204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204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204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204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204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204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204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204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204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204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204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204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204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204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204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204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204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204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204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204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204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204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204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204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204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204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204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204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204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204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204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204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204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204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204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204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204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204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204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204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204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204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204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204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204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204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204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204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204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204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204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204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204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204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204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204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204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204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204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204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204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204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204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204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204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204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204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204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204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204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204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204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204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204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204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204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204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204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204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204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204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204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204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204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204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204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204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204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204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204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204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204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204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204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204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204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204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204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204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204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204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204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204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204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204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204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204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204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204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204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204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204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204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204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204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204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204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204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204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204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204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204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204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204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204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204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204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204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204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204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204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204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204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204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204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204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204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204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204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204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204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204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204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204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204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204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204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204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204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204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204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204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204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204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204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204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204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204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204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204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204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204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204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204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204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204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204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204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204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204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204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204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204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204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204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204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204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204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204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204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204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204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204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204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204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204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204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204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204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204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204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204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204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204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204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204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204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204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204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204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204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204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204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204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204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204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204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204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204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204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204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204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204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204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204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204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204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204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204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204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204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204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204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204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204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204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204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204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204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204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204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204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204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204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204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204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204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204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204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204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204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204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204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204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204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204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204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204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204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204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204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204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204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204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204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204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204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204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204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204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204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204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204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204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204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204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204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204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204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204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204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204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204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204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204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204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204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204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204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204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204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204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204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204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204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204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204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204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204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204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204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204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204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204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204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204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204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204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204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204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204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204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204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204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204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204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204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204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204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204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204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204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204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204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204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204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204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204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204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204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204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204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204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204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204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204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204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204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204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204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204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204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204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204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204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204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204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204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204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204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204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204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204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204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204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204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204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204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204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204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204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204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204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204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204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204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204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204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204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204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204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204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204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204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204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204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204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204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204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204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204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204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204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204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204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204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204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204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204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204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204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204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204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204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204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204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204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204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204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204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204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204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204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204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204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204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204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204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204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204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204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204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204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204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204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204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204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204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204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204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204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204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204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204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204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204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204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204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204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204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204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204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204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204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204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204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204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204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204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204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204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204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204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204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204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204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204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204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204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</sheetData>
  <mergeCells count="2">
    <mergeCell ref="A1:P1"/>
    <mergeCell ref="A37:M37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19.75"/>
    <col customWidth="1" min="3" max="3" width="21.38"/>
    <col customWidth="1" min="4" max="4" width="4.0"/>
    <col customWidth="1" min="5" max="5" width="3.0"/>
    <col customWidth="1" min="6" max="6" width="6.25"/>
    <col customWidth="1" min="7" max="9" width="2.88"/>
    <col customWidth="1" min="10" max="10" width="3.38"/>
    <col customWidth="1" min="11" max="11" width="4.25"/>
    <col customWidth="1" min="12" max="12" width="5.13"/>
    <col customWidth="1" min="13" max="13" width="2.25"/>
    <col customWidth="1" min="14" max="14" width="12.75"/>
    <col customWidth="1" min="15" max="15" width="5.13"/>
    <col customWidth="1" min="16" max="16" width="5.88"/>
    <col customWidth="1" min="17" max="17" width="6.38"/>
    <col customWidth="1" min="18" max="18" width="5.75"/>
    <col customWidth="1" min="19" max="19" width="7.88"/>
    <col customWidth="1" min="20" max="20" width="5.38"/>
    <col customWidth="1" min="21" max="21" width="10.63"/>
    <col customWidth="1" min="22" max="22" width="7.63"/>
    <col customWidth="1" min="23" max="24" width="6.13"/>
    <col customWidth="1" min="25" max="25" width="51.88"/>
  </cols>
  <sheetData>
    <row r="1" ht="15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  <c r="Z1" s="7"/>
      <c r="AA1" s="7"/>
      <c r="AB1" s="7"/>
      <c r="AC1" s="7"/>
      <c r="AD1" s="7"/>
    </row>
    <row r="2" ht="15.75" customHeight="1">
      <c r="A2" s="10" t="s">
        <v>2</v>
      </c>
      <c r="B2" s="10" t="s">
        <v>4</v>
      </c>
      <c r="C2" s="14" t="s">
        <v>3</v>
      </c>
      <c r="D2" s="15" t="s">
        <v>5</v>
      </c>
      <c r="E2" s="10" t="s">
        <v>8</v>
      </c>
      <c r="F2" s="10" t="s">
        <v>6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17</v>
      </c>
      <c r="M2" s="10" t="s">
        <v>19</v>
      </c>
      <c r="N2" s="14" t="s">
        <v>20</v>
      </c>
      <c r="O2" s="10" t="s">
        <v>22</v>
      </c>
      <c r="P2" s="10" t="s">
        <v>23</v>
      </c>
      <c r="Q2" s="10" t="s">
        <v>24</v>
      </c>
      <c r="R2" s="10" t="s">
        <v>25</v>
      </c>
      <c r="S2" s="10" t="s">
        <v>27</v>
      </c>
      <c r="T2" s="10" t="s">
        <v>29</v>
      </c>
      <c r="U2" s="10" t="s">
        <v>26</v>
      </c>
      <c r="V2" s="10" t="s">
        <v>31</v>
      </c>
      <c r="W2" s="10" t="s">
        <v>33</v>
      </c>
      <c r="X2" s="10" t="s">
        <v>34</v>
      </c>
      <c r="Y2" s="10" t="s">
        <v>30</v>
      </c>
      <c r="Z2" s="21"/>
      <c r="AA2" s="21"/>
      <c r="AB2" s="21"/>
      <c r="AC2" s="21"/>
      <c r="AD2" s="21"/>
    </row>
    <row r="3" ht="15.75" customHeight="1">
      <c r="A3" s="22">
        <v>1.0</v>
      </c>
      <c r="B3" s="24" t="s">
        <v>39</v>
      </c>
      <c r="C3" s="26" t="s">
        <v>41</v>
      </c>
      <c r="D3" s="22">
        <v>27.0</v>
      </c>
      <c r="E3" s="28" t="s">
        <v>42</v>
      </c>
      <c r="F3" s="28" t="s">
        <v>43</v>
      </c>
      <c r="G3" s="28">
        <v>54.0</v>
      </c>
      <c r="H3" s="28">
        <v>35.0</v>
      </c>
      <c r="I3" s="28">
        <v>12.0</v>
      </c>
      <c r="J3" s="28">
        <v>6.0</v>
      </c>
      <c r="K3" s="33">
        <v>2.59</v>
      </c>
      <c r="L3" s="36">
        <v>0.899</v>
      </c>
      <c r="M3" s="28">
        <v>4.0</v>
      </c>
      <c r="N3" s="28">
        <f t="shared" ref="N3:N80" si="1">(2*H3)+(1*J3)+(3*M3)</f>
        <v>88</v>
      </c>
      <c r="O3" s="43">
        <v>57.4</v>
      </c>
      <c r="P3" s="43">
        <v>18.5</v>
      </c>
      <c r="Q3" s="43">
        <v>15.4</v>
      </c>
      <c r="R3" s="33">
        <v>-12.99</v>
      </c>
      <c r="S3" s="36">
        <v>0.913</v>
      </c>
      <c r="T3" s="43">
        <v>81.0</v>
      </c>
      <c r="U3" s="46">
        <v>8250000.0</v>
      </c>
      <c r="V3" s="24"/>
      <c r="W3" s="24"/>
      <c r="X3" s="24"/>
      <c r="Y3" s="24" t="s">
        <v>50</v>
      </c>
      <c r="Z3" s="48"/>
      <c r="AA3" s="48"/>
      <c r="AB3" s="48"/>
      <c r="AC3" s="48"/>
      <c r="AD3" s="48"/>
    </row>
    <row r="4" ht="15.75" customHeight="1">
      <c r="A4" s="22">
        <v>2.0</v>
      </c>
      <c r="B4" s="24" t="s">
        <v>44</v>
      </c>
      <c r="C4" s="26" t="s">
        <v>41</v>
      </c>
      <c r="D4" s="22">
        <v>32.0</v>
      </c>
      <c r="E4" s="28" t="s">
        <v>42</v>
      </c>
      <c r="F4" s="28" t="s">
        <v>47</v>
      </c>
      <c r="G4" s="28">
        <v>58.0</v>
      </c>
      <c r="H4" s="28">
        <v>39.0</v>
      </c>
      <c r="I4" s="28">
        <v>15.0</v>
      </c>
      <c r="J4" s="28">
        <v>4.0</v>
      </c>
      <c r="K4" s="33">
        <v>2.27</v>
      </c>
      <c r="L4" s="36">
        <v>0.912</v>
      </c>
      <c r="M4" s="28">
        <v>2.0</v>
      </c>
      <c r="N4" s="28">
        <f t="shared" si="1"/>
        <v>88</v>
      </c>
      <c r="O4" s="43">
        <v>72.4</v>
      </c>
      <c r="P4" s="43">
        <v>10.3</v>
      </c>
      <c r="Q4" s="43">
        <v>4.0</v>
      </c>
      <c r="R4" s="33">
        <v>3.72</v>
      </c>
      <c r="S4" s="36">
        <v>0.911</v>
      </c>
      <c r="T4" s="43">
        <v>92.3</v>
      </c>
      <c r="U4" s="46">
        <v>9500000.0</v>
      </c>
      <c r="V4" s="24"/>
      <c r="W4" s="24"/>
      <c r="X4" s="24"/>
      <c r="Y4" s="24" t="s">
        <v>50</v>
      </c>
      <c r="Z4" s="48"/>
      <c r="AA4" s="48"/>
      <c r="AB4" s="48"/>
      <c r="AC4" s="48"/>
      <c r="AD4" s="48"/>
    </row>
    <row r="5" ht="15.75" customHeight="1">
      <c r="A5" s="28">
        <v>3.0</v>
      </c>
      <c r="B5" s="24" t="s">
        <v>55</v>
      </c>
      <c r="C5" s="26" t="s">
        <v>41</v>
      </c>
      <c r="D5" s="22">
        <v>30.0</v>
      </c>
      <c r="E5" s="28" t="s">
        <v>42</v>
      </c>
      <c r="F5" s="28" t="s">
        <v>57</v>
      </c>
      <c r="G5" s="28">
        <v>64.0</v>
      </c>
      <c r="H5" s="28">
        <v>38.0</v>
      </c>
      <c r="I5" s="28">
        <v>20.0</v>
      </c>
      <c r="J5" s="28">
        <v>3.0</v>
      </c>
      <c r="K5" s="33">
        <v>2.73</v>
      </c>
      <c r="L5" s="36">
        <v>0.897</v>
      </c>
      <c r="M5" s="28">
        <v>2.0</v>
      </c>
      <c r="N5" s="28">
        <f t="shared" si="1"/>
        <v>85</v>
      </c>
      <c r="O5" s="43">
        <v>53.1</v>
      </c>
      <c r="P5" s="43">
        <v>21.9</v>
      </c>
      <c r="Q5" s="43">
        <v>12.0</v>
      </c>
      <c r="R5" s="33">
        <v>-7.07</v>
      </c>
      <c r="S5" s="36">
        <v>0.905</v>
      </c>
      <c r="T5" s="43">
        <v>79.0</v>
      </c>
      <c r="U5" s="46">
        <v>4750000.0</v>
      </c>
      <c r="V5" s="24"/>
      <c r="W5" s="24"/>
      <c r="X5" s="24"/>
      <c r="Y5" s="24" t="s">
        <v>50</v>
      </c>
      <c r="Z5" s="48"/>
      <c r="AA5" s="48"/>
      <c r="AB5" s="48"/>
      <c r="AC5" s="48"/>
      <c r="AD5" s="48"/>
    </row>
    <row r="6" ht="15.75" customHeight="1">
      <c r="A6" s="22">
        <v>4.0</v>
      </c>
      <c r="B6" s="24" t="s">
        <v>63</v>
      </c>
      <c r="C6" s="26" t="s">
        <v>41</v>
      </c>
      <c r="D6" s="22">
        <v>31.0</v>
      </c>
      <c r="E6" s="28" t="s">
        <v>42</v>
      </c>
      <c r="F6" s="28" t="s">
        <v>65</v>
      </c>
      <c r="G6" s="28">
        <v>55.0</v>
      </c>
      <c r="H6" s="28">
        <v>29.0</v>
      </c>
      <c r="I6" s="28">
        <v>24.0</v>
      </c>
      <c r="J6" s="28">
        <v>2.0</v>
      </c>
      <c r="K6" s="33">
        <v>2.68</v>
      </c>
      <c r="L6" s="36">
        <v>0.906</v>
      </c>
      <c r="M6" s="28">
        <v>7.0</v>
      </c>
      <c r="N6" s="28">
        <f t="shared" si="1"/>
        <v>81</v>
      </c>
      <c r="O6" s="43">
        <v>50.9</v>
      </c>
      <c r="P6" s="43">
        <v>16.4</v>
      </c>
      <c r="Q6" s="43">
        <v>8.7</v>
      </c>
      <c r="R6" s="33">
        <v>6.25</v>
      </c>
      <c r="S6" s="36">
        <v>0.913</v>
      </c>
      <c r="T6" s="43">
        <v>82.3</v>
      </c>
      <c r="U6" s="46">
        <v>8250000.0</v>
      </c>
      <c r="V6" s="24"/>
      <c r="W6" s="24"/>
      <c r="X6" s="24"/>
      <c r="Y6" s="24" t="s">
        <v>74</v>
      </c>
      <c r="Z6" s="48"/>
      <c r="AA6" s="48"/>
      <c r="AB6" s="48"/>
      <c r="AC6" s="48"/>
      <c r="AD6" s="48"/>
    </row>
    <row r="7" ht="15.75" customHeight="1">
      <c r="A7" s="22">
        <v>5.0</v>
      </c>
      <c r="B7" s="24" t="s">
        <v>75</v>
      </c>
      <c r="C7" s="26" t="s">
        <v>41</v>
      </c>
      <c r="D7" s="22">
        <v>29.0</v>
      </c>
      <c r="E7" s="28" t="s">
        <v>42</v>
      </c>
      <c r="F7" s="28" t="s">
        <v>76</v>
      </c>
      <c r="G7" s="28">
        <v>58.0</v>
      </c>
      <c r="H7" s="28">
        <v>31.0</v>
      </c>
      <c r="I7" s="28">
        <v>21.0</v>
      </c>
      <c r="J7" s="28">
        <v>6.0</v>
      </c>
      <c r="K7" s="33">
        <v>2.44</v>
      </c>
      <c r="L7" s="36">
        <v>0.912</v>
      </c>
      <c r="M7" s="28">
        <v>4.0</v>
      </c>
      <c r="N7" s="28">
        <f t="shared" si="1"/>
        <v>80</v>
      </c>
      <c r="O7" s="43">
        <v>67.2</v>
      </c>
      <c r="P7" s="43">
        <v>13.8</v>
      </c>
      <c r="Q7" s="43">
        <v>12.0</v>
      </c>
      <c r="R7" s="33">
        <v>17.14</v>
      </c>
      <c r="S7" s="36">
        <v>0.924</v>
      </c>
      <c r="T7" s="43">
        <v>93.2</v>
      </c>
      <c r="U7" s="46">
        <v>5850000.0</v>
      </c>
      <c r="V7" s="24"/>
      <c r="W7" s="24"/>
      <c r="X7" s="24"/>
      <c r="Y7" s="24" t="s">
        <v>84</v>
      </c>
      <c r="Z7" s="48"/>
      <c r="AA7" s="48"/>
      <c r="AB7" s="48"/>
      <c r="AC7" s="48"/>
      <c r="AD7" s="48"/>
    </row>
    <row r="8" ht="15.75" customHeight="1">
      <c r="A8" s="28">
        <v>6.0</v>
      </c>
      <c r="B8" s="75" t="s">
        <v>87</v>
      </c>
      <c r="C8" s="26" t="s">
        <v>41</v>
      </c>
      <c r="D8" s="22">
        <v>34.0</v>
      </c>
      <c r="E8" s="28" t="s">
        <v>42</v>
      </c>
      <c r="F8" s="28" t="s">
        <v>64</v>
      </c>
      <c r="G8" s="28">
        <v>45.0</v>
      </c>
      <c r="H8" s="28">
        <v>31.0</v>
      </c>
      <c r="I8" s="28">
        <v>6.0</v>
      </c>
      <c r="J8" s="28">
        <v>6.0</v>
      </c>
      <c r="K8" s="33">
        <v>2.02</v>
      </c>
      <c r="L8" s="36">
        <v>0.921</v>
      </c>
      <c r="M8" s="28">
        <v>4.0</v>
      </c>
      <c r="N8" s="28">
        <f t="shared" si="1"/>
        <v>80</v>
      </c>
      <c r="O8" s="43">
        <v>68.9</v>
      </c>
      <c r="P8" s="43">
        <v>17.8</v>
      </c>
      <c r="Q8" s="43">
        <v>12.5</v>
      </c>
      <c r="R8" s="33">
        <v>12.06</v>
      </c>
      <c r="S8" s="36">
        <v>0.928</v>
      </c>
      <c r="T8" s="43">
        <v>87.6</v>
      </c>
      <c r="U8" s="46">
        <v>2500000.0</v>
      </c>
      <c r="V8" s="24"/>
      <c r="W8" s="24"/>
      <c r="X8" s="24"/>
      <c r="Y8" s="24" t="s">
        <v>99</v>
      </c>
      <c r="Z8" s="48"/>
      <c r="AA8" s="48"/>
      <c r="AB8" s="48"/>
      <c r="AC8" s="48"/>
      <c r="AD8" s="48"/>
    </row>
    <row r="9" ht="15.75" customHeight="1">
      <c r="A9" s="22">
        <v>7.0</v>
      </c>
      <c r="B9" s="78" t="s">
        <v>100</v>
      </c>
      <c r="C9" s="26" t="s">
        <v>41</v>
      </c>
      <c r="D9" s="28">
        <v>28.0</v>
      </c>
      <c r="E9" s="28" t="s">
        <v>42</v>
      </c>
      <c r="F9" s="28" t="s">
        <v>54</v>
      </c>
      <c r="G9" s="28">
        <v>50.0</v>
      </c>
      <c r="H9" s="28">
        <v>28.0</v>
      </c>
      <c r="I9" s="28">
        <v>15.0</v>
      </c>
      <c r="J9" s="28">
        <v>6.0</v>
      </c>
      <c r="K9" s="33">
        <v>2.67</v>
      </c>
      <c r="L9" s="36">
        <v>0.904</v>
      </c>
      <c r="M9" s="28">
        <v>4.0</v>
      </c>
      <c r="N9" s="28">
        <f t="shared" si="1"/>
        <v>74</v>
      </c>
      <c r="O9" s="43">
        <v>60.0</v>
      </c>
      <c r="P9" s="43">
        <v>18.0</v>
      </c>
      <c r="Q9" s="43">
        <v>11.5</v>
      </c>
      <c r="R9" s="33">
        <v>-9.52</v>
      </c>
      <c r="S9" s="36">
        <v>0.914</v>
      </c>
      <c r="T9" s="43">
        <v>80.0</v>
      </c>
      <c r="U9" s="46">
        <v>6800000.0</v>
      </c>
      <c r="V9" s="24"/>
      <c r="W9" s="24"/>
      <c r="X9" s="24"/>
      <c r="Y9" s="24" t="s">
        <v>110</v>
      </c>
      <c r="Z9" s="48"/>
      <c r="AA9" s="48"/>
      <c r="AB9" s="48"/>
      <c r="AC9" s="48"/>
      <c r="AD9" s="48"/>
    </row>
    <row r="10" ht="15.75" customHeight="1">
      <c r="A10" s="22">
        <v>8.0</v>
      </c>
      <c r="B10" s="24" t="s">
        <v>111</v>
      </c>
      <c r="C10" s="26" t="s">
        <v>112</v>
      </c>
      <c r="D10" s="22">
        <v>33.0</v>
      </c>
      <c r="E10" s="28" t="s">
        <v>42</v>
      </c>
      <c r="F10" s="28" t="s">
        <v>114</v>
      </c>
      <c r="G10" s="28">
        <v>57.0</v>
      </c>
      <c r="H10" s="28">
        <v>29.0</v>
      </c>
      <c r="I10" s="28">
        <v>22.0</v>
      </c>
      <c r="J10" s="28">
        <v>4.0</v>
      </c>
      <c r="K10" s="33">
        <v>2.72</v>
      </c>
      <c r="L10" s="36">
        <v>0.901</v>
      </c>
      <c r="M10" s="28">
        <v>4.0</v>
      </c>
      <c r="N10" s="28">
        <f t="shared" si="1"/>
        <v>74</v>
      </c>
      <c r="O10" s="43">
        <v>47.4</v>
      </c>
      <c r="P10" s="43">
        <v>17.5</v>
      </c>
      <c r="Q10" s="43">
        <v>11.5</v>
      </c>
      <c r="R10" s="33">
        <v>-14.25</v>
      </c>
      <c r="S10" s="36">
        <v>0.912</v>
      </c>
      <c r="T10" s="43">
        <v>72.8</v>
      </c>
      <c r="U10" s="46">
        <v>6400000.0</v>
      </c>
      <c r="V10" s="24"/>
      <c r="W10" s="24"/>
      <c r="X10" s="24"/>
      <c r="Y10" s="24" t="s">
        <v>125</v>
      </c>
      <c r="Z10" s="48"/>
      <c r="AA10" s="48"/>
      <c r="AB10" s="48"/>
      <c r="AC10" s="48"/>
      <c r="AD10" s="48"/>
    </row>
    <row r="11" ht="15.75" customHeight="1">
      <c r="A11" s="28">
        <v>9.0</v>
      </c>
      <c r="B11" s="24" t="s">
        <v>126</v>
      </c>
      <c r="C11" s="26" t="s">
        <v>127</v>
      </c>
      <c r="D11" s="22">
        <v>33.0</v>
      </c>
      <c r="E11" s="28" t="s">
        <v>42</v>
      </c>
      <c r="F11" s="28" t="s">
        <v>122</v>
      </c>
      <c r="G11" s="28">
        <v>49.0</v>
      </c>
      <c r="H11" s="28">
        <v>28.0</v>
      </c>
      <c r="I11" s="28">
        <v>12.0</v>
      </c>
      <c r="J11" s="28">
        <v>8.0</v>
      </c>
      <c r="K11" s="33">
        <v>2.73</v>
      </c>
      <c r="L11" s="36">
        <v>0.891</v>
      </c>
      <c r="M11" s="28">
        <v>3.0</v>
      </c>
      <c r="N11" s="28">
        <f t="shared" si="1"/>
        <v>73</v>
      </c>
      <c r="O11" s="43">
        <v>57.1</v>
      </c>
      <c r="P11" s="43">
        <v>20.4</v>
      </c>
      <c r="Q11" s="43">
        <v>14.3</v>
      </c>
      <c r="R11" s="33">
        <v>-33.58</v>
      </c>
      <c r="S11" s="36">
        <v>0.902</v>
      </c>
      <c r="T11" s="43">
        <v>69.2</v>
      </c>
      <c r="U11" s="46">
        <v>8250000.0</v>
      </c>
      <c r="V11" s="24"/>
      <c r="W11" s="24" t="s">
        <v>77</v>
      </c>
      <c r="X11" s="24"/>
      <c r="Y11" s="24" t="s">
        <v>125</v>
      </c>
      <c r="Z11" s="48"/>
      <c r="AA11" s="48"/>
      <c r="AB11" s="48"/>
      <c r="AC11" s="48"/>
      <c r="AD11" s="48"/>
    </row>
    <row r="12" ht="15.75" customHeight="1">
      <c r="A12" s="22">
        <v>10.0</v>
      </c>
      <c r="B12" s="24" t="s">
        <v>81</v>
      </c>
      <c r="C12" s="26" t="s">
        <v>41</v>
      </c>
      <c r="D12" s="22">
        <v>27.0</v>
      </c>
      <c r="E12" s="28" t="s">
        <v>42</v>
      </c>
      <c r="F12" s="28" t="s">
        <v>83</v>
      </c>
      <c r="G12" s="28">
        <v>55.0</v>
      </c>
      <c r="H12" s="28">
        <v>31.0</v>
      </c>
      <c r="I12" s="28">
        <v>18.0</v>
      </c>
      <c r="J12" s="28">
        <v>4.0</v>
      </c>
      <c r="K12" s="33">
        <v>2.69</v>
      </c>
      <c r="L12" s="36">
        <v>0.908</v>
      </c>
      <c r="M12" s="28">
        <v>2.0</v>
      </c>
      <c r="N12" s="28">
        <f t="shared" si="1"/>
        <v>72</v>
      </c>
      <c r="O12" s="43">
        <v>69.1</v>
      </c>
      <c r="P12" s="43">
        <v>18.2</v>
      </c>
      <c r="Q12" s="43">
        <v>12.0</v>
      </c>
      <c r="R12" s="33">
        <v>12.68</v>
      </c>
      <c r="S12" s="36">
        <v>0.925</v>
      </c>
      <c r="T12" s="43">
        <v>87.3</v>
      </c>
      <c r="U12" s="46">
        <v>8250000.0</v>
      </c>
      <c r="V12" s="24"/>
      <c r="W12" s="24"/>
      <c r="X12" s="24"/>
      <c r="Y12" s="24" t="s">
        <v>84</v>
      </c>
      <c r="Z12" s="48"/>
      <c r="AA12" s="48"/>
      <c r="AB12" s="48"/>
      <c r="AC12" s="48"/>
      <c r="AD12" s="48"/>
    </row>
    <row r="13" ht="15.75" customHeight="1">
      <c r="A13" s="22">
        <v>11.0</v>
      </c>
      <c r="B13" s="107" t="s">
        <v>143</v>
      </c>
      <c r="C13" s="26" t="s">
        <v>112</v>
      </c>
      <c r="D13" s="22">
        <v>26.0</v>
      </c>
      <c r="E13" s="28" t="s">
        <v>42</v>
      </c>
      <c r="F13" s="28" t="s">
        <v>145</v>
      </c>
      <c r="G13" s="28">
        <v>46.0</v>
      </c>
      <c r="H13" s="28">
        <v>24.0</v>
      </c>
      <c r="I13" s="28">
        <v>13.0</v>
      </c>
      <c r="J13" s="28">
        <v>5.0</v>
      </c>
      <c r="K13" s="33">
        <v>2.58</v>
      </c>
      <c r="L13" s="36">
        <v>0.91</v>
      </c>
      <c r="M13" s="28">
        <v>6.0</v>
      </c>
      <c r="N13" s="28">
        <f t="shared" si="1"/>
        <v>71</v>
      </c>
      <c r="O13" s="43">
        <v>56.5</v>
      </c>
      <c r="P13" s="43">
        <v>17.4</v>
      </c>
      <c r="Q13" s="43">
        <v>11.5</v>
      </c>
      <c r="R13" s="33">
        <v>-11.17</v>
      </c>
      <c r="S13" s="36">
        <v>0.915</v>
      </c>
      <c r="T13" s="43">
        <v>74.6</v>
      </c>
      <c r="U13" s="46">
        <v>3400000.0</v>
      </c>
      <c r="V13" s="24"/>
      <c r="W13" s="24"/>
      <c r="X13" s="24"/>
      <c r="Y13" s="24" t="s">
        <v>125</v>
      </c>
      <c r="Z13" s="48"/>
      <c r="AA13" s="48"/>
      <c r="AB13" s="48"/>
      <c r="AC13" s="48"/>
      <c r="AD13" s="48"/>
    </row>
    <row r="14" ht="15.75" customHeight="1">
      <c r="A14" s="28">
        <v>12.0</v>
      </c>
      <c r="B14" s="24" t="s">
        <v>152</v>
      </c>
      <c r="C14" s="26" t="s">
        <v>127</v>
      </c>
      <c r="D14" s="28">
        <v>28.0</v>
      </c>
      <c r="E14" s="28" t="s">
        <v>42</v>
      </c>
      <c r="F14" s="28" t="s">
        <v>155</v>
      </c>
      <c r="G14" s="28">
        <v>39.0</v>
      </c>
      <c r="H14" s="28">
        <v>31.0</v>
      </c>
      <c r="I14" s="28">
        <v>6.0</v>
      </c>
      <c r="J14" s="28">
        <v>2.0</v>
      </c>
      <c r="K14" s="33">
        <v>2.44</v>
      </c>
      <c r="L14" s="36">
        <v>0.895</v>
      </c>
      <c r="M14" s="28">
        <v>2.0</v>
      </c>
      <c r="N14" s="28">
        <f t="shared" si="1"/>
        <v>70</v>
      </c>
      <c r="O14" s="43">
        <v>56.4</v>
      </c>
      <c r="P14" s="43">
        <v>25.6</v>
      </c>
      <c r="Q14" s="43">
        <v>16.7</v>
      </c>
      <c r="R14" s="33">
        <v>-9.54</v>
      </c>
      <c r="S14" s="36">
        <v>0.904</v>
      </c>
      <c r="T14" s="43">
        <v>66.1</v>
      </c>
      <c r="U14" s="46">
        <v>2000000.0</v>
      </c>
      <c r="V14" s="24"/>
      <c r="W14" s="24"/>
      <c r="X14" s="24"/>
      <c r="Y14" s="24" t="s">
        <v>161</v>
      </c>
      <c r="Z14" s="48"/>
      <c r="AA14" s="48"/>
      <c r="AB14" s="48"/>
      <c r="AC14" s="48"/>
      <c r="AD14" s="48"/>
    </row>
    <row r="15" ht="15.75" customHeight="1">
      <c r="A15" s="22">
        <v>13.0</v>
      </c>
      <c r="B15" s="24" t="s">
        <v>163</v>
      </c>
      <c r="C15" s="26" t="s">
        <v>41</v>
      </c>
      <c r="D15" s="22">
        <v>25.0</v>
      </c>
      <c r="E15" s="28" t="s">
        <v>42</v>
      </c>
      <c r="F15" s="28" t="s">
        <v>166</v>
      </c>
      <c r="G15" s="28">
        <v>55.0</v>
      </c>
      <c r="H15" s="28">
        <v>26.0</v>
      </c>
      <c r="I15" s="28">
        <v>19.0</v>
      </c>
      <c r="J15" s="28">
        <v>9.0</v>
      </c>
      <c r="K15" s="33">
        <v>2.6</v>
      </c>
      <c r="L15" s="36">
        <v>0.908</v>
      </c>
      <c r="M15" s="28">
        <v>2.0</v>
      </c>
      <c r="N15" s="28">
        <f t="shared" si="1"/>
        <v>67</v>
      </c>
      <c r="O15" s="43">
        <v>63.6</v>
      </c>
      <c r="P15" s="43">
        <v>14.5</v>
      </c>
      <c r="Q15" s="43">
        <v>7.7</v>
      </c>
      <c r="R15" s="33">
        <v>-8.96</v>
      </c>
      <c r="S15" s="36">
        <v>0.918</v>
      </c>
      <c r="T15" s="43">
        <v>80.5</v>
      </c>
      <c r="U15" s="46">
        <v>5000000.0</v>
      </c>
      <c r="V15" s="24"/>
      <c r="W15" s="24"/>
      <c r="X15" s="24"/>
      <c r="Y15" s="24" t="s">
        <v>171</v>
      </c>
      <c r="Z15" s="48"/>
      <c r="AA15" s="48"/>
      <c r="AB15" s="48"/>
      <c r="AC15" s="48"/>
      <c r="AD15" s="48"/>
    </row>
    <row r="16" ht="15.75" customHeight="1">
      <c r="A16" s="22">
        <v>14.0</v>
      </c>
      <c r="B16" s="107" t="s">
        <v>156</v>
      </c>
      <c r="C16" s="26" t="s">
        <v>174</v>
      </c>
      <c r="D16" s="22">
        <v>37.0</v>
      </c>
      <c r="E16" s="28" t="s">
        <v>42</v>
      </c>
      <c r="F16" s="28" t="s">
        <v>157</v>
      </c>
      <c r="G16" s="28">
        <v>52.0</v>
      </c>
      <c r="H16" s="28">
        <v>27.0</v>
      </c>
      <c r="I16" s="28">
        <v>23.0</v>
      </c>
      <c r="J16" s="28">
        <v>1.0</v>
      </c>
      <c r="K16" s="33">
        <v>3.07</v>
      </c>
      <c r="L16" s="36">
        <v>0.877</v>
      </c>
      <c r="M16" s="28">
        <v>4.0</v>
      </c>
      <c r="N16" s="28">
        <f t="shared" si="1"/>
        <v>67</v>
      </c>
      <c r="O16" s="43">
        <v>51.9</v>
      </c>
      <c r="P16" s="43">
        <v>30.8</v>
      </c>
      <c r="Q16" s="43">
        <v>28.0</v>
      </c>
      <c r="R16" s="33">
        <v>-25.11</v>
      </c>
      <c r="S16" s="36">
        <v>0.886</v>
      </c>
      <c r="T16" s="43">
        <v>56.3</v>
      </c>
      <c r="U16" s="46">
        <v>7000000.0</v>
      </c>
      <c r="V16" s="24" t="s">
        <v>77</v>
      </c>
      <c r="W16" s="24" t="s">
        <v>77</v>
      </c>
      <c r="X16" s="24"/>
      <c r="Y16" s="24" t="s">
        <v>179</v>
      </c>
      <c r="Z16" s="48"/>
      <c r="AA16" s="48"/>
      <c r="AB16" s="48"/>
      <c r="AC16" s="48"/>
      <c r="AD16" s="48"/>
    </row>
    <row r="17" ht="15.75" customHeight="1">
      <c r="A17" s="28">
        <v>15.0</v>
      </c>
      <c r="B17" s="24" t="s">
        <v>183</v>
      </c>
      <c r="C17" s="26" t="s">
        <v>41</v>
      </c>
      <c r="D17" s="22">
        <v>29.0</v>
      </c>
      <c r="E17" s="28" t="s">
        <v>42</v>
      </c>
      <c r="F17" s="28" t="s">
        <v>185</v>
      </c>
      <c r="G17" s="28">
        <v>52.0</v>
      </c>
      <c r="H17" s="28">
        <v>29.0</v>
      </c>
      <c r="I17" s="28">
        <v>14.0</v>
      </c>
      <c r="J17" s="28">
        <v>7.0</v>
      </c>
      <c r="K17" s="33">
        <v>2.42</v>
      </c>
      <c r="L17" s="36">
        <v>0.906</v>
      </c>
      <c r="M17" s="28">
        <v>0.0</v>
      </c>
      <c r="N17" s="28">
        <f t="shared" si="1"/>
        <v>65</v>
      </c>
      <c r="O17" s="43">
        <v>71.2</v>
      </c>
      <c r="P17" s="43">
        <v>19.2</v>
      </c>
      <c r="Q17" s="43">
        <v>8.0</v>
      </c>
      <c r="R17" s="33">
        <v>-5.63</v>
      </c>
      <c r="S17" s="36">
        <v>0.926</v>
      </c>
      <c r="T17" s="43">
        <v>79.0</v>
      </c>
      <c r="U17" s="46">
        <v>3350000.0</v>
      </c>
      <c r="V17" s="24"/>
      <c r="W17" s="24"/>
      <c r="X17" s="24"/>
      <c r="Y17" s="24" t="s">
        <v>171</v>
      </c>
      <c r="Z17" s="48"/>
      <c r="AA17" s="48"/>
      <c r="AB17" s="48"/>
      <c r="AC17" s="48"/>
      <c r="AD17" s="48"/>
    </row>
    <row r="18" ht="15.75" customHeight="1">
      <c r="A18" s="22">
        <v>16.0</v>
      </c>
      <c r="B18" s="75" t="s">
        <v>191</v>
      </c>
      <c r="C18" s="26" t="s">
        <v>127</v>
      </c>
      <c r="D18" s="28">
        <v>26.0</v>
      </c>
      <c r="E18" s="28" t="s">
        <v>42</v>
      </c>
      <c r="F18" s="28" t="s">
        <v>192</v>
      </c>
      <c r="G18" s="28">
        <v>56.0</v>
      </c>
      <c r="H18" s="28">
        <v>30.0</v>
      </c>
      <c r="I18" s="28">
        <v>20.0</v>
      </c>
      <c r="J18" s="28">
        <v>4.0</v>
      </c>
      <c r="K18" s="33">
        <v>3.1</v>
      </c>
      <c r="L18" s="36">
        <v>0.888</v>
      </c>
      <c r="M18" s="28">
        <v>0.0</v>
      </c>
      <c r="N18" s="28">
        <f t="shared" si="1"/>
        <v>64</v>
      </c>
      <c r="O18" s="43">
        <v>50.0</v>
      </c>
      <c r="P18" s="43">
        <v>23.2</v>
      </c>
      <c r="Q18" s="43">
        <v>20.8</v>
      </c>
      <c r="R18" s="33">
        <v>-11.28</v>
      </c>
      <c r="S18" s="36">
        <v>0.897</v>
      </c>
      <c r="T18" s="43">
        <v>61.7</v>
      </c>
      <c r="U18" s="46">
        <v>6500000.0</v>
      </c>
      <c r="V18" s="24"/>
      <c r="W18" s="24" t="s">
        <v>77</v>
      </c>
      <c r="X18" s="24"/>
      <c r="Y18" s="24" t="s">
        <v>198</v>
      </c>
      <c r="Z18" s="48"/>
      <c r="AA18" s="48"/>
      <c r="AB18" s="48"/>
      <c r="AC18" s="48"/>
      <c r="AD18" s="48"/>
    </row>
    <row r="19" ht="15.75" customHeight="1">
      <c r="A19" s="22">
        <v>17.0</v>
      </c>
      <c r="B19" s="24" t="s">
        <v>201</v>
      </c>
      <c r="C19" s="26" t="s">
        <v>127</v>
      </c>
      <c r="D19" s="22">
        <v>31.0</v>
      </c>
      <c r="E19" s="28" t="s">
        <v>42</v>
      </c>
      <c r="F19" s="28" t="s">
        <v>196</v>
      </c>
      <c r="G19" s="28">
        <v>59.0</v>
      </c>
      <c r="H19" s="28">
        <v>28.0</v>
      </c>
      <c r="I19" s="28">
        <v>22.0</v>
      </c>
      <c r="J19" s="28">
        <v>8.0</v>
      </c>
      <c r="K19" s="33">
        <v>3.16</v>
      </c>
      <c r="L19" s="36">
        <v>0.894</v>
      </c>
      <c r="M19" s="28">
        <v>0.0</v>
      </c>
      <c r="N19" s="28">
        <f t="shared" si="1"/>
        <v>64</v>
      </c>
      <c r="O19" s="43">
        <v>47.5</v>
      </c>
      <c r="P19" s="43">
        <v>13.6</v>
      </c>
      <c r="Q19" s="43">
        <v>11.5</v>
      </c>
      <c r="R19" s="33">
        <v>-33.62</v>
      </c>
      <c r="S19" s="36">
        <v>0.897</v>
      </c>
      <c r="T19" s="43">
        <v>61.7</v>
      </c>
      <c r="U19" s="46">
        <v>7740000.0</v>
      </c>
      <c r="V19" s="24"/>
      <c r="W19" s="24" t="s">
        <v>77</v>
      </c>
      <c r="X19" s="24"/>
      <c r="Y19" s="24" t="s">
        <v>179</v>
      </c>
      <c r="Z19" s="48"/>
      <c r="AA19" s="48"/>
      <c r="AB19" s="48"/>
      <c r="AC19" s="48"/>
      <c r="AD19" s="48"/>
    </row>
    <row r="20" ht="15.75" customHeight="1">
      <c r="A20" s="28">
        <v>18.0</v>
      </c>
      <c r="B20" s="24" t="s">
        <v>209</v>
      </c>
      <c r="C20" s="26" t="s">
        <v>127</v>
      </c>
      <c r="D20" s="22">
        <v>25.0</v>
      </c>
      <c r="E20" s="28" t="s">
        <v>42</v>
      </c>
      <c r="F20" s="28" t="s">
        <v>109</v>
      </c>
      <c r="G20" s="28">
        <v>43.0</v>
      </c>
      <c r="H20" s="28">
        <v>29.0</v>
      </c>
      <c r="I20" s="28">
        <v>10.0</v>
      </c>
      <c r="J20" s="28">
        <v>4.0</v>
      </c>
      <c r="K20" s="33">
        <v>2.78</v>
      </c>
      <c r="L20" s="36">
        <v>0.901</v>
      </c>
      <c r="M20" s="28">
        <v>0.0</v>
      </c>
      <c r="N20" s="28">
        <f t="shared" si="1"/>
        <v>62</v>
      </c>
      <c r="O20" s="43">
        <v>62.8</v>
      </c>
      <c r="P20" s="43">
        <v>23.3</v>
      </c>
      <c r="Q20" s="43">
        <v>16.7</v>
      </c>
      <c r="R20" s="33">
        <v>-7.55</v>
      </c>
      <c r="S20" s="36">
        <v>0.909</v>
      </c>
      <c r="T20" s="43">
        <v>67.1</v>
      </c>
      <c r="U20" s="46">
        <v>965000.0</v>
      </c>
      <c r="V20" s="24"/>
      <c r="W20" s="24"/>
      <c r="X20" s="24"/>
      <c r="Y20" s="24" t="s">
        <v>125</v>
      </c>
      <c r="Z20" s="48"/>
      <c r="AA20" s="48"/>
      <c r="AB20" s="48"/>
      <c r="AC20" s="48"/>
      <c r="AD20" s="48"/>
    </row>
    <row r="21" ht="15.75" customHeight="1">
      <c r="A21" s="22">
        <v>19.0</v>
      </c>
      <c r="B21" s="107" t="s">
        <v>218</v>
      </c>
      <c r="C21" s="26" t="s">
        <v>127</v>
      </c>
      <c r="D21" s="22">
        <v>36.0</v>
      </c>
      <c r="E21" s="28" t="s">
        <v>42</v>
      </c>
      <c r="F21" s="28" t="s">
        <v>219</v>
      </c>
      <c r="G21" s="28">
        <v>50.0</v>
      </c>
      <c r="H21" s="28">
        <v>19.0</v>
      </c>
      <c r="I21" s="28">
        <v>14.0</v>
      </c>
      <c r="J21" s="28">
        <v>15.0</v>
      </c>
      <c r="K21" s="33">
        <v>2.78</v>
      </c>
      <c r="L21" s="36">
        <v>0.891</v>
      </c>
      <c r="M21" s="28">
        <v>3.0</v>
      </c>
      <c r="N21" s="28">
        <f t="shared" si="1"/>
        <v>62</v>
      </c>
      <c r="O21" s="43">
        <v>48.0</v>
      </c>
      <c r="P21" s="43">
        <v>24.0</v>
      </c>
      <c r="Q21" s="43">
        <v>20.8</v>
      </c>
      <c r="R21" s="33">
        <v>-21.76</v>
      </c>
      <c r="S21" s="36">
        <v>0.91</v>
      </c>
      <c r="T21" s="43">
        <v>61.3</v>
      </c>
      <c r="U21" s="46">
        <v>5250000.0</v>
      </c>
      <c r="V21" s="24" t="s">
        <v>77</v>
      </c>
      <c r="W21" s="24" t="s">
        <v>77</v>
      </c>
      <c r="X21" s="24"/>
      <c r="Y21" s="24" t="s">
        <v>227</v>
      </c>
      <c r="Z21" s="48"/>
      <c r="AA21" s="48"/>
      <c r="AB21" s="48"/>
      <c r="AC21" s="48"/>
      <c r="AD21" s="48"/>
    </row>
    <row r="22" ht="15.75" customHeight="1">
      <c r="A22" s="22">
        <v>20.0</v>
      </c>
      <c r="B22" s="107" t="s">
        <v>229</v>
      </c>
      <c r="C22" s="26" t="s">
        <v>127</v>
      </c>
      <c r="D22" s="22">
        <v>27.0</v>
      </c>
      <c r="E22" s="28" t="s">
        <v>42</v>
      </c>
      <c r="F22" s="28" t="s">
        <v>71</v>
      </c>
      <c r="G22" s="28">
        <v>50.0</v>
      </c>
      <c r="H22" s="28">
        <v>23.0</v>
      </c>
      <c r="I22" s="28">
        <v>17.0</v>
      </c>
      <c r="J22" s="28">
        <v>9.0</v>
      </c>
      <c r="K22" s="33">
        <v>2.92</v>
      </c>
      <c r="L22" s="36">
        <v>0.888</v>
      </c>
      <c r="M22" s="28">
        <v>2.0</v>
      </c>
      <c r="N22" s="28">
        <f t="shared" si="1"/>
        <v>61</v>
      </c>
      <c r="O22" s="43">
        <v>50.0</v>
      </c>
      <c r="P22" s="43">
        <v>24.0</v>
      </c>
      <c r="Q22" s="43">
        <v>15.4</v>
      </c>
      <c r="R22" s="33">
        <v>-14.01</v>
      </c>
      <c r="S22" s="36">
        <v>0.9</v>
      </c>
      <c r="T22" s="43">
        <v>61.2</v>
      </c>
      <c r="U22" s="46">
        <v>3750000.0</v>
      </c>
      <c r="V22" s="24"/>
      <c r="W22" s="24" t="s">
        <v>77</v>
      </c>
      <c r="X22" s="24"/>
      <c r="Y22" s="24" t="s">
        <v>74</v>
      </c>
      <c r="Z22" s="48"/>
      <c r="AA22" s="48"/>
      <c r="AB22" s="48"/>
      <c r="AC22" s="48"/>
      <c r="AD22" s="48"/>
    </row>
    <row r="23" ht="15.75" customHeight="1">
      <c r="A23" s="28">
        <v>21.0</v>
      </c>
      <c r="B23" s="24" t="s">
        <v>236</v>
      </c>
      <c r="C23" s="26" t="s">
        <v>41</v>
      </c>
      <c r="D23" s="22">
        <v>30.0</v>
      </c>
      <c r="E23" s="28" t="s">
        <v>42</v>
      </c>
      <c r="F23" s="28" t="s">
        <v>88</v>
      </c>
      <c r="G23" s="28">
        <v>51.0</v>
      </c>
      <c r="H23" s="28">
        <v>25.0</v>
      </c>
      <c r="I23" s="28">
        <v>19.0</v>
      </c>
      <c r="J23" s="28">
        <v>6.0</v>
      </c>
      <c r="K23" s="33">
        <v>2.5</v>
      </c>
      <c r="L23" s="36">
        <v>0.912</v>
      </c>
      <c r="M23" s="28">
        <v>1.0</v>
      </c>
      <c r="N23" s="28">
        <f t="shared" si="1"/>
        <v>59</v>
      </c>
      <c r="O23" s="43">
        <v>62.7</v>
      </c>
      <c r="P23" s="43">
        <v>15.7</v>
      </c>
      <c r="Q23" s="43">
        <v>9.5</v>
      </c>
      <c r="R23" s="33">
        <v>6.84</v>
      </c>
      <c r="S23" s="36">
        <v>0.927</v>
      </c>
      <c r="T23" s="43">
        <v>81.8</v>
      </c>
      <c r="U23" s="46">
        <v>1.1567857E7</v>
      </c>
      <c r="V23" s="24"/>
      <c r="W23" s="24"/>
      <c r="X23" s="24"/>
      <c r="Y23" s="24" t="s">
        <v>110</v>
      </c>
      <c r="Z23" s="48"/>
      <c r="AA23" s="48"/>
      <c r="AB23" s="48"/>
      <c r="AC23" s="48"/>
      <c r="AD23" s="48"/>
    </row>
    <row r="24" ht="15.75" customHeight="1">
      <c r="A24" s="22">
        <v>22.0</v>
      </c>
      <c r="B24" s="24" t="s">
        <v>243</v>
      </c>
      <c r="C24" s="26" t="s">
        <v>127</v>
      </c>
      <c r="D24" s="22">
        <v>25.0</v>
      </c>
      <c r="E24" s="28" t="s">
        <v>42</v>
      </c>
      <c r="F24" s="28" t="s">
        <v>225</v>
      </c>
      <c r="G24" s="28">
        <v>55.0</v>
      </c>
      <c r="H24" s="28">
        <v>19.0</v>
      </c>
      <c r="I24" s="28">
        <v>25.0</v>
      </c>
      <c r="J24" s="28">
        <v>11.0</v>
      </c>
      <c r="K24" s="33">
        <v>2.82</v>
      </c>
      <c r="L24" s="36">
        <v>0.902</v>
      </c>
      <c r="M24" s="28">
        <v>3.0</v>
      </c>
      <c r="N24" s="28">
        <f t="shared" si="1"/>
        <v>58</v>
      </c>
      <c r="O24" s="43">
        <v>50.9</v>
      </c>
      <c r="P24" s="43">
        <v>16.4</v>
      </c>
      <c r="Q24" s="43">
        <v>11.5</v>
      </c>
      <c r="R24" s="33">
        <v>-9.57</v>
      </c>
      <c r="S24" s="36">
        <v>0.907</v>
      </c>
      <c r="T24" s="43">
        <v>69.7</v>
      </c>
      <c r="U24" s="46">
        <v>5833333.0</v>
      </c>
      <c r="V24" s="24"/>
      <c r="W24" s="24"/>
      <c r="X24" s="24"/>
      <c r="Y24" s="24" t="s">
        <v>161</v>
      </c>
      <c r="Z24" s="48"/>
      <c r="AA24" s="48"/>
      <c r="AB24" s="48"/>
      <c r="AC24" s="48"/>
      <c r="AD24" s="48"/>
    </row>
    <row r="25" ht="15.75" customHeight="1">
      <c r="A25" s="22">
        <v>23.0</v>
      </c>
      <c r="B25" s="107" t="s">
        <v>207</v>
      </c>
      <c r="C25" s="26" t="s">
        <v>112</v>
      </c>
      <c r="D25" s="22">
        <v>29.0</v>
      </c>
      <c r="E25" s="28" t="s">
        <v>42</v>
      </c>
      <c r="F25" s="28" t="s">
        <v>64</v>
      </c>
      <c r="G25" s="28">
        <v>39.0</v>
      </c>
      <c r="H25" s="28">
        <v>23.0</v>
      </c>
      <c r="I25" s="28">
        <v>10.0</v>
      </c>
      <c r="J25" s="28">
        <v>2.0</v>
      </c>
      <c r="K25" s="33">
        <v>2.51</v>
      </c>
      <c r="L25" s="36">
        <v>0.904</v>
      </c>
      <c r="M25" s="28">
        <v>3.0</v>
      </c>
      <c r="N25" s="28">
        <f t="shared" si="1"/>
        <v>57</v>
      </c>
      <c r="O25" s="43">
        <v>64.1</v>
      </c>
      <c r="P25" s="43">
        <v>15.4</v>
      </c>
      <c r="Q25" s="43">
        <v>14.3</v>
      </c>
      <c r="R25" s="33">
        <v>-8.74</v>
      </c>
      <c r="S25" s="36">
        <v>0.913</v>
      </c>
      <c r="T25" s="43">
        <v>72.7</v>
      </c>
      <c r="U25" s="46">
        <v>5250000.0</v>
      </c>
      <c r="V25" s="24"/>
      <c r="W25" s="24"/>
      <c r="X25" s="24"/>
      <c r="Y25" s="24" t="s">
        <v>252</v>
      </c>
      <c r="Z25" s="48"/>
      <c r="AA25" s="48"/>
      <c r="AB25" s="48"/>
      <c r="AC25" s="48"/>
      <c r="AD25" s="48"/>
    </row>
    <row r="26" ht="15.75" customHeight="1">
      <c r="A26" s="28">
        <v>24.0</v>
      </c>
      <c r="B26" s="75" t="s">
        <v>69</v>
      </c>
      <c r="C26" s="26" t="s">
        <v>127</v>
      </c>
      <c r="D26" s="22">
        <v>33.0</v>
      </c>
      <c r="E26" s="28" t="s">
        <v>42</v>
      </c>
      <c r="F26" s="28" t="s">
        <v>71</v>
      </c>
      <c r="G26" s="28">
        <v>57.0</v>
      </c>
      <c r="H26" s="28">
        <v>23.0</v>
      </c>
      <c r="I26" s="28">
        <v>23.0</v>
      </c>
      <c r="J26" s="28">
        <v>11.0</v>
      </c>
      <c r="K26" s="33">
        <v>2.86</v>
      </c>
      <c r="L26" s="36">
        <v>0.895</v>
      </c>
      <c r="M26" s="28">
        <v>0.0</v>
      </c>
      <c r="N26" s="28">
        <f t="shared" si="1"/>
        <v>57</v>
      </c>
      <c r="O26" s="43">
        <v>56.1</v>
      </c>
      <c r="P26" s="43">
        <v>14.0</v>
      </c>
      <c r="Q26" s="43">
        <v>13.0</v>
      </c>
      <c r="R26" s="33">
        <v>-21.0</v>
      </c>
      <c r="S26" s="36">
        <v>0.904</v>
      </c>
      <c r="T26" s="43">
        <v>68.9</v>
      </c>
      <c r="U26" s="46">
        <v>8500000.0</v>
      </c>
      <c r="V26" s="24"/>
      <c r="W26" s="24"/>
      <c r="X26" s="24"/>
      <c r="Y26" s="24" t="s">
        <v>74</v>
      </c>
      <c r="Z26" s="48"/>
      <c r="AA26" s="48"/>
      <c r="AB26" s="48"/>
      <c r="AC26" s="48"/>
      <c r="AD26" s="48"/>
    </row>
    <row r="27" ht="15.75" customHeight="1">
      <c r="A27" s="22">
        <v>25.0</v>
      </c>
      <c r="B27" s="24" t="s">
        <v>260</v>
      </c>
      <c r="C27" s="26" t="s">
        <v>127</v>
      </c>
      <c r="D27" s="22">
        <v>25.0</v>
      </c>
      <c r="E27" s="28" t="s">
        <v>42</v>
      </c>
      <c r="F27" s="28" t="s">
        <v>262</v>
      </c>
      <c r="G27" s="28">
        <v>57.0</v>
      </c>
      <c r="H27" s="28">
        <v>23.0</v>
      </c>
      <c r="I27" s="28">
        <v>29.0</v>
      </c>
      <c r="J27" s="28">
        <v>3.0</v>
      </c>
      <c r="K27" s="33">
        <v>2.99</v>
      </c>
      <c r="L27" s="36">
        <v>0.899</v>
      </c>
      <c r="M27" s="28">
        <v>2.0</v>
      </c>
      <c r="N27" s="28">
        <f t="shared" si="1"/>
        <v>55</v>
      </c>
      <c r="O27" s="43">
        <v>49.1</v>
      </c>
      <c r="P27" s="43">
        <v>21.1</v>
      </c>
      <c r="Q27" s="43">
        <v>15.4</v>
      </c>
      <c r="R27" s="33">
        <v>-18.67</v>
      </c>
      <c r="S27" s="36">
        <v>0.904</v>
      </c>
      <c r="T27" s="43">
        <v>64.8</v>
      </c>
      <c r="U27" s="46">
        <v>7500000.0</v>
      </c>
      <c r="V27" s="24"/>
      <c r="W27" s="24"/>
      <c r="X27" s="24"/>
      <c r="Y27" s="24" t="s">
        <v>74</v>
      </c>
      <c r="Z27" s="48"/>
      <c r="AA27" s="48"/>
      <c r="AB27" s="48"/>
      <c r="AC27" s="48"/>
      <c r="AD27" s="48"/>
    </row>
    <row r="28" ht="15.75" customHeight="1">
      <c r="A28" s="22">
        <v>26.0</v>
      </c>
      <c r="B28" s="107" t="s">
        <v>197</v>
      </c>
      <c r="C28" s="26" t="s">
        <v>112</v>
      </c>
      <c r="D28" s="22">
        <v>23.0</v>
      </c>
      <c r="E28" s="28" t="s">
        <v>42</v>
      </c>
      <c r="F28" s="28" t="s">
        <v>54</v>
      </c>
      <c r="G28" s="28">
        <v>35.0</v>
      </c>
      <c r="H28" s="28">
        <v>18.0</v>
      </c>
      <c r="I28" s="28">
        <v>9.0</v>
      </c>
      <c r="J28" s="28">
        <v>6.0</v>
      </c>
      <c r="K28" s="33">
        <v>2.58</v>
      </c>
      <c r="L28" s="36">
        <v>0.916</v>
      </c>
      <c r="M28" s="28">
        <v>4.0</v>
      </c>
      <c r="N28" s="28">
        <f t="shared" si="1"/>
        <v>54</v>
      </c>
      <c r="O28" s="43">
        <v>68.6</v>
      </c>
      <c r="P28" s="43">
        <v>14.3</v>
      </c>
      <c r="Q28" s="43">
        <v>13.0</v>
      </c>
      <c r="R28" s="33">
        <v>1.66</v>
      </c>
      <c r="S28" s="36">
        <v>0.918</v>
      </c>
      <c r="T28" s="43">
        <v>72.2</v>
      </c>
      <c r="U28" s="46">
        <v>2200000.0</v>
      </c>
      <c r="V28" s="24"/>
      <c r="W28" s="24"/>
      <c r="X28" s="24"/>
      <c r="Y28" s="24" t="s">
        <v>252</v>
      </c>
      <c r="Z28" s="48"/>
      <c r="AA28" s="48"/>
      <c r="AB28" s="48"/>
      <c r="AC28" s="48"/>
      <c r="AD28" s="48"/>
    </row>
    <row r="29" ht="15.75" customHeight="1">
      <c r="A29" s="28">
        <v>27.0</v>
      </c>
      <c r="B29" s="107" t="s">
        <v>273</v>
      </c>
      <c r="C29" s="26" t="s">
        <v>112</v>
      </c>
      <c r="D29" s="22">
        <v>33.0</v>
      </c>
      <c r="E29" s="28" t="s">
        <v>42</v>
      </c>
      <c r="F29" s="28" t="s">
        <v>98</v>
      </c>
      <c r="G29" s="28">
        <v>36.0</v>
      </c>
      <c r="H29" s="28">
        <v>20.0</v>
      </c>
      <c r="I29" s="28">
        <v>10.0</v>
      </c>
      <c r="J29" s="28">
        <v>4.0</v>
      </c>
      <c r="K29" s="33">
        <v>2.74</v>
      </c>
      <c r="L29" s="36">
        <v>0.907</v>
      </c>
      <c r="M29" s="28">
        <v>3.0</v>
      </c>
      <c r="N29" s="28">
        <f t="shared" si="1"/>
        <v>53</v>
      </c>
      <c r="O29" s="43">
        <v>63.9</v>
      </c>
      <c r="P29" s="43">
        <v>16.7</v>
      </c>
      <c r="Q29" s="43">
        <v>10.0</v>
      </c>
      <c r="R29" s="33">
        <v>8.64</v>
      </c>
      <c r="S29" s="36">
        <v>0.913</v>
      </c>
      <c r="T29" s="43">
        <v>73.1</v>
      </c>
      <c r="U29" s="46">
        <v>1500000.0</v>
      </c>
      <c r="V29" s="24"/>
      <c r="W29" s="24"/>
      <c r="X29" s="24"/>
      <c r="Y29" s="24" t="s">
        <v>252</v>
      </c>
      <c r="Z29" s="48"/>
      <c r="AA29" s="48"/>
      <c r="AB29" s="48"/>
      <c r="AC29" s="48"/>
      <c r="AD29" s="48"/>
    </row>
    <row r="30" ht="15.75" customHeight="1">
      <c r="A30" s="22">
        <v>28.0</v>
      </c>
      <c r="B30" s="107" t="s">
        <v>280</v>
      </c>
      <c r="C30" s="26" t="s">
        <v>174</v>
      </c>
      <c r="D30" s="22">
        <v>25.0</v>
      </c>
      <c r="E30" s="28" t="s">
        <v>42</v>
      </c>
      <c r="F30" s="28" t="s">
        <v>228</v>
      </c>
      <c r="G30" s="28">
        <v>39.0</v>
      </c>
      <c r="H30" s="28">
        <v>19.0</v>
      </c>
      <c r="I30" s="28">
        <v>12.0</v>
      </c>
      <c r="J30" s="28">
        <v>8.0</v>
      </c>
      <c r="K30" s="33">
        <v>3.04</v>
      </c>
      <c r="L30" s="36">
        <v>0.888</v>
      </c>
      <c r="M30" s="28">
        <v>2.0</v>
      </c>
      <c r="N30" s="28">
        <f t="shared" si="1"/>
        <v>52</v>
      </c>
      <c r="O30" s="43">
        <v>48.7</v>
      </c>
      <c r="P30" s="43">
        <v>33.3</v>
      </c>
      <c r="Q30" s="43">
        <v>16.0</v>
      </c>
      <c r="R30" s="33">
        <v>-22.27</v>
      </c>
      <c r="S30" s="36">
        <v>0.891</v>
      </c>
      <c r="T30" s="43">
        <v>46.6</v>
      </c>
      <c r="U30" s="46">
        <v>2800000.0</v>
      </c>
      <c r="V30" s="24"/>
      <c r="W30" s="24" t="s">
        <v>77</v>
      </c>
      <c r="X30" s="24"/>
      <c r="Y30" s="24" t="s">
        <v>287</v>
      </c>
      <c r="Z30" s="48"/>
      <c r="AA30" s="48"/>
      <c r="AB30" s="48"/>
      <c r="AC30" s="48"/>
      <c r="AD30" s="48"/>
    </row>
    <row r="31" ht="15.75" customHeight="1">
      <c r="A31" s="22">
        <v>29.0</v>
      </c>
      <c r="B31" s="107" t="s">
        <v>290</v>
      </c>
      <c r="C31" s="26" t="s">
        <v>127</v>
      </c>
      <c r="D31" s="22">
        <v>30.0</v>
      </c>
      <c r="E31" s="28" t="s">
        <v>42</v>
      </c>
      <c r="F31" s="28" t="s">
        <v>269</v>
      </c>
      <c r="G31" s="28">
        <v>47.0</v>
      </c>
      <c r="H31" s="28">
        <v>20.0</v>
      </c>
      <c r="I31" s="28">
        <v>20.0</v>
      </c>
      <c r="J31" s="28">
        <v>6.0</v>
      </c>
      <c r="K31" s="33">
        <v>2.99</v>
      </c>
      <c r="L31" s="36">
        <v>0.897</v>
      </c>
      <c r="M31" s="28">
        <v>2.0</v>
      </c>
      <c r="N31" s="28">
        <f t="shared" si="1"/>
        <v>52</v>
      </c>
      <c r="O31" s="43">
        <v>51.1</v>
      </c>
      <c r="P31" s="43">
        <v>25.5</v>
      </c>
      <c r="Q31" s="43">
        <v>16.7</v>
      </c>
      <c r="R31" s="33">
        <v>-10.45</v>
      </c>
      <c r="S31" s="36">
        <v>0.912</v>
      </c>
      <c r="T31" s="43">
        <v>63.6</v>
      </c>
      <c r="U31" s="46">
        <v>5000000.0</v>
      </c>
      <c r="V31" s="24"/>
      <c r="W31" s="24"/>
      <c r="X31" s="24"/>
      <c r="Y31" s="24" t="s">
        <v>294</v>
      </c>
      <c r="Z31" s="48"/>
      <c r="AA31" s="48"/>
      <c r="AB31" s="48"/>
      <c r="AC31" s="48"/>
      <c r="AD31" s="48"/>
    </row>
    <row r="32" ht="15.75" customHeight="1">
      <c r="A32" s="28">
        <v>30.0</v>
      </c>
      <c r="B32" s="24" t="s">
        <v>297</v>
      </c>
      <c r="C32" s="26" t="s">
        <v>127</v>
      </c>
      <c r="D32" s="22">
        <v>27.0</v>
      </c>
      <c r="E32" s="28" t="s">
        <v>42</v>
      </c>
      <c r="F32" s="28" t="s">
        <v>98</v>
      </c>
      <c r="G32" s="28">
        <v>35.0</v>
      </c>
      <c r="H32" s="28">
        <v>22.0</v>
      </c>
      <c r="I32" s="28">
        <v>9.0</v>
      </c>
      <c r="J32" s="28">
        <v>3.0</v>
      </c>
      <c r="K32" s="33">
        <v>2.49</v>
      </c>
      <c r="L32" s="36">
        <v>0.91</v>
      </c>
      <c r="M32" s="28">
        <v>1.0</v>
      </c>
      <c r="N32" s="28">
        <f t="shared" si="1"/>
        <v>50</v>
      </c>
      <c r="O32" s="43">
        <v>62.9</v>
      </c>
      <c r="P32" s="43">
        <v>14.3</v>
      </c>
      <c r="Q32" s="43">
        <v>8.7</v>
      </c>
      <c r="R32" s="33">
        <v>-3.68</v>
      </c>
      <c r="S32" s="36">
        <v>0.914</v>
      </c>
      <c r="T32" s="43">
        <v>68.8</v>
      </c>
      <c r="U32" s="46">
        <v>4750000.0</v>
      </c>
      <c r="V32" s="24"/>
      <c r="W32" s="24"/>
      <c r="X32" s="24"/>
      <c r="Y32" s="24" t="s">
        <v>252</v>
      </c>
      <c r="Z32" s="48"/>
      <c r="AA32" s="48"/>
      <c r="AB32" s="48"/>
      <c r="AC32" s="48"/>
      <c r="AD32" s="48"/>
    </row>
    <row r="33" ht="15.75" customHeight="1">
      <c r="A33" s="22">
        <v>31.0</v>
      </c>
      <c r="B33" s="75" t="s">
        <v>178</v>
      </c>
      <c r="C33" s="26" t="s">
        <v>304</v>
      </c>
      <c r="D33" s="22">
        <v>36.0</v>
      </c>
      <c r="E33" s="28" t="s">
        <v>42</v>
      </c>
      <c r="F33" s="28" t="s">
        <v>181</v>
      </c>
      <c r="G33" s="28">
        <v>44.0</v>
      </c>
      <c r="H33" s="28">
        <v>23.0</v>
      </c>
      <c r="I33" s="28">
        <v>19.0</v>
      </c>
      <c r="J33" s="28">
        <v>1.0</v>
      </c>
      <c r="K33" s="33">
        <v>3.07</v>
      </c>
      <c r="L33" s="36">
        <v>0.883</v>
      </c>
      <c r="M33" s="28">
        <v>1.0</v>
      </c>
      <c r="N33" s="28">
        <f t="shared" si="1"/>
        <v>50</v>
      </c>
      <c r="O33" s="43">
        <v>38.6</v>
      </c>
      <c r="P33" s="43">
        <v>29.5</v>
      </c>
      <c r="Q33" s="43">
        <v>29.2</v>
      </c>
      <c r="R33" s="33">
        <v>-23.62</v>
      </c>
      <c r="S33" s="36">
        <v>0.89</v>
      </c>
      <c r="T33" s="43">
        <v>43.9</v>
      </c>
      <c r="U33" s="46">
        <v>6000000.0</v>
      </c>
      <c r="V33" s="24" t="s">
        <v>77</v>
      </c>
      <c r="W33" s="24" t="s">
        <v>77</v>
      </c>
      <c r="X33" s="24"/>
      <c r="Y33" s="24" t="s">
        <v>309</v>
      </c>
      <c r="Z33" s="48"/>
      <c r="AA33" s="48"/>
      <c r="AB33" s="48"/>
      <c r="AC33" s="48"/>
      <c r="AD33" s="48"/>
    </row>
    <row r="34" ht="15.75" customHeight="1">
      <c r="A34" s="22">
        <v>32.0</v>
      </c>
      <c r="B34" s="107" t="s">
        <v>274</v>
      </c>
      <c r="C34" s="26" t="s">
        <v>304</v>
      </c>
      <c r="D34" s="28">
        <v>24.0</v>
      </c>
      <c r="E34" s="28" t="s">
        <v>42</v>
      </c>
      <c r="F34" s="28" t="s">
        <v>275</v>
      </c>
      <c r="G34" s="28">
        <v>47.0</v>
      </c>
      <c r="H34" s="28">
        <v>21.0</v>
      </c>
      <c r="I34" s="28">
        <v>20.0</v>
      </c>
      <c r="J34" s="28">
        <v>4.0</v>
      </c>
      <c r="K34" s="33">
        <v>3.6</v>
      </c>
      <c r="L34" s="36">
        <v>0.884</v>
      </c>
      <c r="M34" s="28">
        <v>0.0</v>
      </c>
      <c r="N34" s="28">
        <f t="shared" si="1"/>
        <v>46</v>
      </c>
      <c r="O34" s="43">
        <v>40.4</v>
      </c>
      <c r="P34" s="43">
        <v>36.2</v>
      </c>
      <c r="Q34" s="43">
        <v>28.0</v>
      </c>
      <c r="R34" s="33">
        <v>-25.36</v>
      </c>
      <c r="S34" s="36">
        <v>0.89</v>
      </c>
      <c r="T34" s="43">
        <v>38.5</v>
      </c>
      <c r="U34" s="46">
        <v>2000000.0</v>
      </c>
      <c r="V34" s="24"/>
      <c r="W34" s="24" t="s">
        <v>77</v>
      </c>
      <c r="X34" s="24"/>
      <c r="Y34" s="24" t="s">
        <v>287</v>
      </c>
      <c r="Z34" s="48"/>
      <c r="AA34" s="48"/>
      <c r="AB34" s="48"/>
      <c r="AC34" s="48"/>
      <c r="AD34" s="48"/>
    </row>
    <row r="35" ht="15.75" customHeight="1">
      <c r="A35" s="28">
        <v>33.0</v>
      </c>
      <c r="B35" s="75" t="s">
        <v>315</v>
      </c>
      <c r="C35" s="26" t="s">
        <v>127</v>
      </c>
      <c r="D35" s="22">
        <v>33.0</v>
      </c>
      <c r="E35" s="28" t="s">
        <v>42</v>
      </c>
      <c r="F35" s="28" t="s">
        <v>219</v>
      </c>
      <c r="G35" s="28">
        <v>36.0</v>
      </c>
      <c r="H35" s="28">
        <v>16.0</v>
      </c>
      <c r="I35" s="28">
        <v>12.0</v>
      </c>
      <c r="J35" s="28">
        <v>5.0</v>
      </c>
      <c r="K35" s="33">
        <v>2.54</v>
      </c>
      <c r="L35" s="36">
        <v>0.91</v>
      </c>
      <c r="M35" s="28">
        <v>3.0</v>
      </c>
      <c r="N35" s="28">
        <f t="shared" si="1"/>
        <v>46</v>
      </c>
      <c r="O35" s="43">
        <v>58.3</v>
      </c>
      <c r="P35" s="43">
        <v>16.7</v>
      </c>
      <c r="Q35" s="43">
        <v>16.7</v>
      </c>
      <c r="R35" s="33">
        <v>-4.29</v>
      </c>
      <c r="S35" s="36">
        <v>0.925</v>
      </c>
      <c r="T35" s="43">
        <v>65.8</v>
      </c>
      <c r="U35" s="46">
        <v>2250000.0</v>
      </c>
      <c r="V35" s="24"/>
      <c r="W35" s="24"/>
      <c r="X35" s="24"/>
      <c r="Y35" s="24" t="s">
        <v>161</v>
      </c>
      <c r="Z35" s="48"/>
      <c r="AA35" s="48"/>
      <c r="AB35" s="48"/>
      <c r="AC35" s="48"/>
      <c r="AD35" s="48"/>
    </row>
    <row r="36" ht="15.75" customHeight="1">
      <c r="A36" s="22">
        <v>34.0</v>
      </c>
      <c r="B36" s="24" t="s">
        <v>320</v>
      </c>
      <c r="C36" s="26" t="s">
        <v>304</v>
      </c>
      <c r="D36" s="22">
        <v>31.0</v>
      </c>
      <c r="E36" s="28" t="s">
        <v>42</v>
      </c>
      <c r="F36" s="28" t="s">
        <v>49</v>
      </c>
      <c r="G36" s="28">
        <v>33.0</v>
      </c>
      <c r="H36" s="28">
        <v>18.0</v>
      </c>
      <c r="I36" s="28">
        <v>9.0</v>
      </c>
      <c r="J36" s="28">
        <v>3.0</v>
      </c>
      <c r="K36" s="33">
        <v>3.32</v>
      </c>
      <c r="L36" s="36">
        <v>0.882</v>
      </c>
      <c r="M36" s="28">
        <v>2.0</v>
      </c>
      <c r="N36" s="28">
        <f t="shared" si="1"/>
        <v>45</v>
      </c>
      <c r="O36" s="43">
        <v>39.4</v>
      </c>
      <c r="P36" s="43">
        <v>30.3</v>
      </c>
      <c r="Q36" s="43">
        <v>31.6</v>
      </c>
      <c r="R36" s="33">
        <v>-10.63</v>
      </c>
      <c r="S36" s="36">
        <v>0.894</v>
      </c>
      <c r="T36" s="43">
        <v>40.4</v>
      </c>
      <c r="U36" s="46">
        <v>5375000.0</v>
      </c>
      <c r="V36" s="24"/>
      <c r="W36" s="24" t="s">
        <v>77</v>
      </c>
      <c r="X36" s="24"/>
      <c r="Y36" s="24" t="s">
        <v>326</v>
      </c>
      <c r="Z36" s="48"/>
      <c r="AA36" s="48"/>
      <c r="AB36" s="48"/>
      <c r="AC36" s="48"/>
      <c r="AD36" s="48"/>
    </row>
    <row r="37" ht="15.75" customHeight="1">
      <c r="A37" s="22">
        <v>35.0</v>
      </c>
      <c r="B37" s="24" t="s">
        <v>327</v>
      </c>
      <c r="C37" s="26" t="s">
        <v>174</v>
      </c>
      <c r="D37" s="22">
        <v>26.0</v>
      </c>
      <c r="E37" s="28" t="s">
        <v>42</v>
      </c>
      <c r="F37" s="28" t="s">
        <v>181</v>
      </c>
      <c r="G37" s="28">
        <v>34.0</v>
      </c>
      <c r="H37" s="28">
        <v>16.0</v>
      </c>
      <c r="I37" s="28">
        <v>10.0</v>
      </c>
      <c r="J37" s="28">
        <v>6.0</v>
      </c>
      <c r="K37" s="33">
        <v>2.59</v>
      </c>
      <c r="L37" s="36">
        <v>0.893</v>
      </c>
      <c r="M37" s="28">
        <v>2.0</v>
      </c>
      <c r="N37" s="28">
        <f t="shared" si="1"/>
        <v>44</v>
      </c>
      <c r="O37" s="43">
        <v>41.2</v>
      </c>
      <c r="P37" s="43">
        <v>20.6</v>
      </c>
      <c r="Q37" s="43">
        <v>10.0</v>
      </c>
      <c r="R37" s="33">
        <v>-1.42</v>
      </c>
      <c r="S37" s="36">
        <v>0.906</v>
      </c>
      <c r="T37" s="43">
        <v>53.7</v>
      </c>
      <c r="U37" s="46">
        <v>2000000.0</v>
      </c>
      <c r="V37" s="24"/>
      <c r="W37" s="24" t="s">
        <v>77</v>
      </c>
      <c r="X37" s="24"/>
      <c r="Y37" s="24" t="s">
        <v>334</v>
      </c>
      <c r="Z37" s="48"/>
      <c r="AA37" s="48"/>
      <c r="AB37" s="48"/>
      <c r="AC37" s="48"/>
      <c r="AD37" s="48"/>
    </row>
    <row r="38" ht="15.75" customHeight="1">
      <c r="A38" s="28">
        <v>36.0</v>
      </c>
      <c r="B38" s="24" t="s">
        <v>335</v>
      </c>
      <c r="C38" s="26" t="s">
        <v>174</v>
      </c>
      <c r="D38" s="22">
        <v>28.0</v>
      </c>
      <c r="E38" s="28" t="s">
        <v>42</v>
      </c>
      <c r="F38" s="28" t="s">
        <v>185</v>
      </c>
      <c r="G38" s="28">
        <v>39.0</v>
      </c>
      <c r="H38" s="28">
        <v>15.0</v>
      </c>
      <c r="I38" s="28">
        <v>16.0</v>
      </c>
      <c r="J38" s="28">
        <v>7.0</v>
      </c>
      <c r="K38" s="33">
        <v>3.31</v>
      </c>
      <c r="L38" s="36">
        <v>0.899</v>
      </c>
      <c r="M38" s="28">
        <v>2.0</v>
      </c>
      <c r="N38" s="28">
        <f t="shared" si="1"/>
        <v>43</v>
      </c>
      <c r="O38" s="43">
        <v>59.0</v>
      </c>
      <c r="P38" s="43">
        <v>30.8</v>
      </c>
      <c r="Q38" s="43">
        <v>15.8</v>
      </c>
      <c r="R38" s="33">
        <v>-20.72</v>
      </c>
      <c r="S38" s="36">
        <v>0.904</v>
      </c>
      <c r="T38" s="43">
        <v>55.6</v>
      </c>
      <c r="U38" s="46">
        <v>3666667.0</v>
      </c>
      <c r="V38" s="24"/>
      <c r="W38" s="24" t="s">
        <v>77</v>
      </c>
      <c r="X38" s="24"/>
      <c r="Y38" s="24" t="s">
        <v>287</v>
      </c>
      <c r="Z38" s="48"/>
      <c r="AA38" s="48"/>
      <c r="AB38" s="48"/>
      <c r="AC38" s="48"/>
      <c r="AD38" s="48"/>
    </row>
    <row r="39" ht="15.75" customHeight="1">
      <c r="A39" s="22">
        <v>37.0</v>
      </c>
      <c r="B39" s="75" t="s">
        <v>342</v>
      </c>
      <c r="C39" s="26" t="s">
        <v>174</v>
      </c>
      <c r="D39" s="22">
        <v>29.0</v>
      </c>
      <c r="E39" s="28" t="s">
        <v>42</v>
      </c>
      <c r="F39" s="28"/>
      <c r="G39" s="28">
        <v>32.0</v>
      </c>
      <c r="H39" s="28">
        <v>16.0</v>
      </c>
      <c r="I39" s="28">
        <v>10.0</v>
      </c>
      <c r="J39" s="28">
        <v>3.0</v>
      </c>
      <c r="K39" s="33">
        <v>2.6</v>
      </c>
      <c r="L39" s="36">
        <v>0.899</v>
      </c>
      <c r="M39" s="28">
        <v>2.0</v>
      </c>
      <c r="N39" s="28">
        <f t="shared" si="1"/>
        <v>41</v>
      </c>
      <c r="O39" s="43">
        <v>56.3</v>
      </c>
      <c r="P39" s="43">
        <v>31.3</v>
      </c>
      <c r="Q39" s="43">
        <v>18.8</v>
      </c>
      <c r="R39" s="33">
        <v>-18.13</v>
      </c>
      <c r="S39" s="36">
        <v>0.901</v>
      </c>
      <c r="T39" s="43">
        <v>48.0</v>
      </c>
      <c r="U39" s="142"/>
      <c r="V39" s="24"/>
      <c r="W39" s="24" t="s">
        <v>77</v>
      </c>
      <c r="X39" s="24"/>
      <c r="Y39" s="24" t="s">
        <v>326</v>
      </c>
      <c r="Z39" s="48"/>
      <c r="AA39" s="48"/>
      <c r="AB39" s="48"/>
      <c r="AC39" s="48"/>
      <c r="AD39" s="48"/>
    </row>
    <row r="40" ht="15.75" customHeight="1">
      <c r="A40" s="22">
        <v>38.0</v>
      </c>
      <c r="B40" s="24" t="s">
        <v>350</v>
      </c>
      <c r="C40" s="26" t="s">
        <v>174</v>
      </c>
      <c r="D40" s="22">
        <v>30.0</v>
      </c>
      <c r="E40" s="28" t="s">
        <v>42</v>
      </c>
      <c r="F40" s="28" t="s">
        <v>275</v>
      </c>
      <c r="G40" s="28">
        <v>40.0</v>
      </c>
      <c r="H40" s="28">
        <v>18.0</v>
      </c>
      <c r="I40" s="28">
        <v>14.0</v>
      </c>
      <c r="J40" s="28">
        <v>4.0</v>
      </c>
      <c r="K40" s="33">
        <v>2.87</v>
      </c>
      <c r="L40" s="36">
        <v>0.896</v>
      </c>
      <c r="M40" s="28">
        <v>0.0</v>
      </c>
      <c r="N40" s="28">
        <f t="shared" si="1"/>
        <v>40</v>
      </c>
      <c r="O40" s="43">
        <v>52.5</v>
      </c>
      <c r="P40" s="43">
        <v>30.0</v>
      </c>
      <c r="Q40" s="43">
        <v>19.2</v>
      </c>
      <c r="R40" s="33">
        <v>-23.22</v>
      </c>
      <c r="S40" s="36">
        <v>0.904</v>
      </c>
      <c r="T40" s="43">
        <v>48.4</v>
      </c>
      <c r="U40" s="46">
        <v>3000000.0</v>
      </c>
      <c r="V40" s="24"/>
      <c r="W40" s="24" t="s">
        <v>77</v>
      </c>
      <c r="X40" s="24"/>
      <c r="Y40" s="24" t="s">
        <v>287</v>
      </c>
      <c r="Z40" s="48"/>
      <c r="AA40" s="48"/>
      <c r="AB40" s="48"/>
      <c r="AC40" s="48"/>
      <c r="AD40" s="48"/>
    </row>
    <row r="41" ht="15.75" customHeight="1">
      <c r="A41" s="28">
        <v>39.0</v>
      </c>
      <c r="B41" s="24" t="s">
        <v>356</v>
      </c>
      <c r="C41" s="26" t="s">
        <v>174</v>
      </c>
      <c r="D41" s="22">
        <v>35.0</v>
      </c>
      <c r="E41" s="28" t="s">
        <v>42</v>
      </c>
      <c r="F41" s="28" t="s">
        <v>43</v>
      </c>
      <c r="G41" s="28">
        <v>30.0</v>
      </c>
      <c r="H41" s="28">
        <v>15.0</v>
      </c>
      <c r="I41" s="28">
        <v>8.0</v>
      </c>
      <c r="J41" s="28">
        <v>6.0</v>
      </c>
      <c r="K41" s="33">
        <v>2.43</v>
      </c>
      <c r="L41" s="36">
        <v>0.907</v>
      </c>
      <c r="M41" s="28">
        <v>1.0</v>
      </c>
      <c r="N41" s="28">
        <f t="shared" si="1"/>
        <v>39</v>
      </c>
      <c r="O41" s="43">
        <v>56.7</v>
      </c>
      <c r="P41" s="43">
        <v>20.0</v>
      </c>
      <c r="Q41" s="43">
        <v>13.6</v>
      </c>
      <c r="R41" s="33">
        <v>0.22</v>
      </c>
      <c r="S41" s="36">
        <v>0.919</v>
      </c>
      <c r="T41" s="43">
        <v>59.6</v>
      </c>
      <c r="U41" s="46">
        <v>1050000.0</v>
      </c>
      <c r="V41" s="24"/>
      <c r="W41" s="24"/>
      <c r="X41" s="24"/>
      <c r="Y41" s="24" t="s">
        <v>334</v>
      </c>
      <c r="Z41" s="48"/>
      <c r="AA41" s="48"/>
      <c r="AB41" s="48"/>
      <c r="AC41" s="48"/>
      <c r="AD41" s="48"/>
    </row>
    <row r="42" ht="15.75" customHeight="1">
      <c r="A42" s="22">
        <v>40.0</v>
      </c>
      <c r="B42" s="24" t="s">
        <v>361</v>
      </c>
      <c r="C42" s="26" t="s">
        <v>174</v>
      </c>
      <c r="D42" s="22">
        <v>36.0</v>
      </c>
      <c r="E42" s="28" t="s">
        <v>42</v>
      </c>
      <c r="F42" s="28" t="s">
        <v>363</v>
      </c>
      <c r="G42" s="28">
        <v>37.0</v>
      </c>
      <c r="H42" s="28">
        <v>17.0</v>
      </c>
      <c r="I42" s="28">
        <v>17.0</v>
      </c>
      <c r="J42" s="28">
        <v>2.0</v>
      </c>
      <c r="K42" s="33">
        <v>2.72</v>
      </c>
      <c r="L42" s="36">
        <v>0.904</v>
      </c>
      <c r="M42" s="28">
        <v>1.0</v>
      </c>
      <c r="N42" s="28">
        <f t="shared" si="1"/>
        <v>39</v>
      </c>
      <c r="O42" s="43">
        <v>54.1</v>
      </c>
      <c r="P42" s="43">
        <v>18.9</v>
      </c>
      <c r="Q42" s="43">
        <v>13.6</v>
      </c>
      <c r="R42" s="33">
        <v>-3.8</v>
      </c>
      <c r="S42" s="36">
        <v>0.906</v>
      </c>
      <c r="T42" s="43">
        <v>59.9</v>
      </c>
      <c r="U42" s="46">
        <v>1800000.0</v>
      </c>
      <c r="V42" s="24" t="s">
        <v>77</v>
      </c>
      <c r="W42" s="24"/>
      <c r="X42" s="24"/>
      <c r="Y42" s="24" t="s">
        <v>161</v>
      </c>
      <c r="Z42" s="48"/>
      <c r="AA42" s="48"/>
      <c r="AB42" s="48"/>
      <c r="AC42" s="48"/>
      <c r="AD42" s="48"/>
    </row>
    <row r="43" ht="15.75" customHeight="1">
      <c r="A43" s="22">
        <v>41.0</v>
      </c>
      <c r="B43" s="24" t="s">
        <v>371</v>
      </c>
      <c r="C43" s="26" t="s">
        <v>304</v>
      </c>
      <c r="D43" s="22">
        <v>32.0</v>
      </c>
      <c r="E43" s="28" t="s">
        <v>42</v>
      </c>
      <c r="F43" s="28" t="s">
        <v>88</v>
      </c>
      <c r="G43" s="28">
        <v>31.0</v>
      </c>
      <c r="H43" s="28">
        <v>14.0</v>
      </c>
      <c r="I43" s="28">
        <v>9.0</v>
      </c>
      <c r="J43" s="28">
        <v>6.0</v>
      </c>
      <c r="K43" s="33">
        <v>3.15</v>
      </c>
      <c r="L43" s="36">
        <v>0.894</v>
      </c>
      <c r="M43" s="28">
        <v>1.0</v>
      </c>
      <c r="N43" s="28">
        <f t="shared" si="1"/>
        <v>37</v>
      </c>
      <c r="O43" s="43">
        <v>41.9</v>
      </c>
      <c r="P43" s="43">
        <v>22.6</v>
      </c>
      <c r="Q43" s="43">
        <v>13.0</v>
      </c>
      <c r="R43" s="33">
        <v>-6.86</v>
      </c>
      <c r="S43" s="36">
        <v>0.904</v>
      </c>
      <c r="T43" s="43">
        <v>44.7</v>
      </c>
      <c r="U43" s="46">
        <v>4000000.0</v>
      </c>
      <c r="V43" s="24"/>
      <c r="W43" s="24" t="s">
        <v>77</v>
      </c>
      <c r="X43" s="24"/>
      <c r="Y43" s="24" t="s">
        <v>326</v>
      </c>
      <c r="Z43" s="48"/>
      <c r="AA43" s="48"/>
      <c r="AB43" s="48"/>
      <c r="AC43" s="48"/>
      <c r="AD43" s="48"/>
    </row>
    <row r="44" ht="15.75" customHeight="1">
      <c r="A44" s="28">
        <v>42.0</v>
      </c>
      <c r="B44" s="24" t="s">
        <v>376</v>
      </c>
      <c r="C44" s="26" t="s">
        <v>174</v>
      </c>
      <c r="D44" s="22">
        <v>34.0</v>
      </c>
      <c r="E44" s="28" t="s">
        <v>42</v>
      </c>
      <c r="F44" s="28" t="s">
        <v>363</v>
      </c>
      <c r="G44" s="28">
        <v>30.0</v>
      </c>
      <c r="H44" s="28">
        <v>14.0</v>
      </c>
      <c r="I44" s="28">
        <v>10.0</v>
      </c>
      <c r="J44" s="28">
        <v>3.0</v>
      </c>
      <c r="K44" s="33">
        <v>2.76</v>
      </c>
      <c r="L44" s="36">
        <v>0.894</v>
      </c>
      <c r="M44" s="28">
        <v>2.0</v>
      </c>
      <c r="N44" s="28">
        <f t="shared" si="1"/>
        <v>37</v>
      </c>
      <c r="O44" s="43">
        <v>53.3</v>
      </c>
      <c r="P44" s="43">
        <v>30.0</v>
      </c>
      <c r="Q44" s="43">
        <v>20.8</v>
      </c>
      <c r="R44" s="33">
        <v>4.5</v>
      </c>
      <c r="S44" s="36">
        <v>0.9</v>
      </c>
      <c r="T44" s="43">
        <v>50.2</v>
      </c>
      <c r="U44" s="46">
        <v>1000000.0</v>
      </c>
      <c r="V44" s="24"/>
      <c r="W44" s="24" t="s">
        <v>77</v>
      </c>
      <c r="X44" s="24"/>
      <c r="Y44" s="24" t="s">
        <v>326</v>
      </c>
      <c r="Z44" s="48"/>
      <c r="AA44" s="48"/>
      <c r="AB44" s="48"/>
      <c r="AC44" s="48"/>
      <c r="AD44" s="48"/>
    </row>
    <row r="45" ht="15.75" customHeight="1">
      <c r="A45" s="22">
        <v>43.0</v>
      </c>
      <c r="B45" s="24" t="s">
        <v>383</v>
      </c>
      <c r="C45" s="26" t="s">
        <v>304</v>
      </c>
      <c r="D45" s="22">
        <v>36.0</v>
      </c>
      <c r="E45" s="28" t="s">
        <v>42</v>
      </c>
      <c r="F45" s="28" t="s">
        <v>49</v>
      </c>
      <c r="G45" s="28">
        <v>35.0</v>
      </c>
      <c r="H45" s="28">
        <v>16.0</v>
      </c>
      <c r="I45" s="28">
        <v>14.0</v>
      </c>
      <c r="J45" s="28">
        <v>5.0</v>
      </c>
      <c r="K45" s="33">
        <v>3.05</v>
      </c>
      <c r="L45" s="36">
        <v>0.874</v>
      </c>
      <c r="M45" s="28">
        <v>0.0</v>
      </c>
      <c r="N45" s="28">
        <f t="shared" si="1"/>
        <v>37</v>
      </c>
      <c r="O45" s="43">
        <v>31.4</v>
      </c>
      <c r="P45" s="43">
        <v>34.3</v>
      </c>
      <c r="Q45" s="43">
        <v>36.4</v>
      </c>
      <c r="R45" s="33">
        <v>-20.13</v>
      </c>
      <c r="S45" s="36">
        <v>0.883</v>
      </c>
      <c r="T45" s="43">
        <v>31.3</v>
      </c>
      <c r="U45" s="46">
        <v>1000000.0</v>
      </c>
      <c r="V45" s="24" t="s">
        <v>77</v>
      </c>
      <c r="W45" s="24" t="s">
        <v>77</v>
      </c>
      <c r="X45" s="24"/>
      <c r="Y45" s="24" t="s">
        <v>287</v>
      </c>
      <c r="Z45" s="48"/>
      <c r="AA45" s="48"/>
      <c r="AB45" s="48"/>
      <c r="AC45" s="48"/>
      <c r="AD45" s="48"/>
    </row>
    <row r="46" ht="15.75" customHeight="1">
      <c r="A46" s="22">
        <v>44.0</v>
      </c>
      <c r="B46" s="24" t="s">
        <v>389</v>
      </c>
      <c r="C46" s="26" t="s">
        <v>304</v>
      </c>
      <c r="D46" s="22">
        <v>33.0</v>
      </c>
      <c r="E46" s="28" t="s">
        <v>42</v>
      </c>
      <c r="F46" s="28" t="s">
        <v>145</v>
      </c>
      <c r="G46" s="28">
        <v>41.0</v>
      </c>
      <c r="H46" s="28">
        <v>13.0</v>
      </c>
      <c r="I46" s="28">
        <v>20.0</v>
      </c>
      <c r="J46" s="28">
        <v>7.0</v>
      </c>
      <c r="K46" s="33">
        <v>3.33</v>
      </c>
      <c r="L46" s="36">
        <v>0.873</v>
      </c>
      <c r="M46" s="28">
        <v>1.0</v>
      </c>
      <c r="N46" s="28">
        <f t="shared" si="1"/>
        <v>36</v>
      </c>
      <c r="O46" s="43">
        <v>41.5</v>
      </c>
      <c r="P46" s="43">
        <v>46.3</v>
      </c>
      <c r="Q46" s="43">
        <v>38.5</v>
      </c>
      <c r="R46" s="33">
        <v>-33.11</v>
      </c>
      <c r="S46" s="36">
        <v>0.884</v>
      </c>
      <c r="T46" s="43">
        <v>34.9</v>
      </c>
      <c r="U46" s="46">
        <v>6000000.0</v>
      </c>
      <c r="V46" s="24"/>
      <c r="W46" s="24" t="s">
        <v>77</v>
      </c>
      <c r="X46" s="24"/>
      <c r="Y46" s="24" t="s">
        <v>287</v>
      </c>
      <c r="Z46" s="48"/>
      <c r="AA46" s="48"/>
      <c r="AB46" s="48"/>
      <c r="AC46" s="48"/>
      <c r="AD46" s="48"/>
    </row>
    <row r="47" ht="15.75" customHeight="1">
      <c r="A47" s="28">
        <v>45.0</v>
      </c>
      <c r="B47" s="24" t="s">
        <v>396</v>
      </c>
      <c r="C47" s="26" t="s">
        <v>304</v>
      </c>
      <c r="D47" s="22">
        <v>32.0</v>
      </c>
      <c r="E47" s="28" t="s">
        <v>42</v>
      </c>
      <c r="F47" s="28" t="s">
        <v>166</v>
      </c>
      <c r="G47" s="28">
        <v>30.0</v>
      </c>
      <c r="H47" s="28">
        <v>14.0</v>
      </c>
      <c r="I47" s="28">
        <v>11.0</v>
      </c>
      <c r="J47" s="28">
        <v>3.0</v>
      </c>
      <c r="K47" s="33">
        <v>3.4</v>
      </c>
      <c r="L47" s="36">
        <v>0.883</v>
      </c>
      <c r="M47" s="28">
        <v>1.0</v>
      </c>
      <c r="N47" s="28">
        <f t="shared" si="1"/>
        <v>34</v>
      </c>
      <c r="O47" s="43">
        <v>43.3</v>
      </c>
      <c r="P47" s="43">
        <v>30.0</v>
      </c>
      <c r="Q47" s="43">
        <v>23.8</v>
      </c>
      <c r="R47" s="33">
        <v>-11.94</v>
      </c>
      <c r="S47" s="36">
        <v>0.894</v>
      </c>
      <c r="T47" s="43">
        <v>36.6</v>
      </c>
      <c r="U47" s="46">
        <v>5400000.0</v>
      </c>
      <c r="V47" s="24"/>
      <c r="W47" s="24" t="s">
        <v>77</v>
      </c>
      <c r="X47" s="24"/>
      <c r="Y47" s="24" t="s">
        <v>326</v>
      </c>
      <c r="Z47" s="48"/>
      <c r="AA47" s="48"/>
      <c r="AB47" s="48"/>
      <c r="AC47" s="48"/>
      <c r="AD47" s="48"/>
    </row>
    <row r="48" ht="15.75" customHeight="1">
      <c r="A48" s="22">
        <v>46.0</v>
      </c>
      <c r="B48" s="24" t="s">
        <v>406</v>
      </c>
      <c r="C48" s="26" t="s">
        <v>407</v>
      </c>
      <c r="D48" s="22">
        <v>26.0</v>
      </c>
      <c r="E48" s="28" t="s">
        <v>42</v>
      </c>
      <c r="F48" s="28" t="s">
        <v>122</v>
      </c>
      <c r="G48" s="28">
        <v>33.0</v>
      </c>
      <c r="H48" s="28">
        <v>14.0</v>
      </c>
      <c r="I48" s="28">
        <v>11.0</v>
      </c>
      <c r="J48" s="28">
        <v>5.0</v>
      </c>
      <c r="K48" s="33">
        <v>3.12</v>
      </c>
      <c r="L48" s="36">
        <v>0.87</v>
      </c>
      <c r="M48" s="28">
        <v>0.0</v>
      </c>
      <c r="N48" s="28">
        <f t="shared" si="1"/>
        <v>33</v>
      </c>
      <c r="O48" s="43">
        <v>36.4</v>
      </c>
      <c r="P48" s="43">
        <v>33.3</v>
      </c>
      <c r="Q48" s="43">
        <v>34.8</v>
      </c>
      <c r="R48" s="33">
        <v>-21.83</v>
      </c>
      <c r="S48" s="36">
        <v>0.873</v>
      </c>
      <c r="T48" s="43">
        <v>28.6</v>
      </c>
      <c r="U48" s="46">
        <v>2200000.0</v>
      </c>
      <c r="V48" s="24"/>
      <c r="W48" s="24" t="s">
        <v>77</v>
      </c>
      <c r="X48" s="24"/>
      <c r="Y48" s="24" t="s">
        <v>326</v>
      </c>
      <c r="Z48" s="48"/>
      <c r="AA48" s="48"/>
      <c r="AB48" s="48"/>
      <c r="AC48" s="48"/>
      <c r="AD48" s="48"/>
    </row>
    <row r="49" ht="15.75" customHeight="1">
      <c r="A49" s="22">
        <v>47.0</v>
      </c>
      <c r="B49" s="24" t="s">
        <v>415</v>
      </c>
      <c r="C49" s="26" t="s">
        <v>174</v>
      </c>
      <c r="D49" s="22">
        <v>34.0</v>
      </c>
      <c r="E49" s="28" t="s">
        <v>42</v>
      </c>
      <c r="F49" s="28" t="s">
        <v>269</v>
      </c>
      <c r="G49" s="28">
        <v>32.0</v>
      </c>
      <c r="H49" s="28">
        <v>13.0</v>
      </c>
      <c r="I49" s="28">
        <v>12.0</v>
      </c>
      <c r="J49" s="28">
        <v>4.0</v>
      </c>
      <c r="K49" s="33">
        <v>2.65</v>
      </c>
      <c r="L49" s="36">
        <v>0.909</v>
      </c>
      <c r="M49" s="28">
        <v>0.0</v>
      </c>
      <c r="N49" s="28">
        <f t="shared" si="1"/>
        <v>30</v>
      </c>
      <c r="O49" s="43">
        <v>53.1</v>
      </c>
      <c r="P49" s="43">
        <v>18.8</v>
      </c>
      <c r="Q49" s="43">
        <v>9.1</v>
      </c>
      <c r="R49" s="33">
        <v>1.51</v>
      </c>
      <c r="S49" s="36">
        <v>0.925</v>
      </c>
      <c r="T49" s="43">
        <v>53.3</v>
      </c>
      <c r="U49" s="46">
        <v>5900000.0</v>
      </c>
      <c r="V49" s="24"/>
      <c r="W49" s="24"/>
      <c r="X49" s="24"/>
      <c r="Y49" s="24" t="s">
        <v>334</v>
      </c>
      <c r="Z49" s="48"/>
      <c r="AA49" s="48"/>
      <c r="AB49" s="48"/>
      <c r="AC49" s="48"/>
      <c r="AD49" s="48"/>
    </row>
    <row r="50" ht="15.75" customHeight="1">
      <c r="A50" s="28">
        <v>48.0</v>
      </c>
      <c r="B50" s="75" t="s">
        <v>424</v>
      </c>
      <c r="C50" s="26" t="s">
        <v>304</v>
      </c>
      <c r="D50" s="28">
        <v>39.0</v>
      </c>
      <c r="E50" s="28" t="s">
        <v>42</v>
      </c>
      <c r="F50" s="28"/>
      <c r="G50" s="28">
        <v>34.0</v>
      </c>
      <c r="H50" s="28">
        <v>12.0</v>
      </c>
      <c r="I50" s="28">
        <v>9.0</v>
      </c>
      <c r="J50" s="28">
        <v>6.0</v>
      </c>
      <c r="K50" s="33">
        <v>3.19</v>
      </c>
      <c r="L50" s="36">
        <v>0.883</v>
      </c>
      <c r="M50" s="28">
        <v>0.0</v>
      </c>
      <c r="N50" s="28">
        <f t="shared" si="1"/>
        <v>30</v>
      </c>
      <c r="O50" s="43">
        <v>35.3</v>
      </c>
      <c r="P50" s="43">
        <v>29.4</v>
      </c>
      <c r="Q50" s="43">
        <v>27.3</v>
      </c>
      <c r="R50" s="33">
        <v>-20.17</v>
      </c>
      <c r="S50" s="36">
        <v>0.89</v>
      </c>
      <c r="T50" s="43">
        <v>31.1</v>
      </c>
      <c r="U50" s="142"/>
      <c r="V50" s="24" t="s">
        <v>77</v>
      </c>
      <c r="W50" s="24" t="s">
        <v>77</v>
      </c>
      <c r="X50" s="24"/>
      <c r="Y50" s="24" t="s">
        <v>326</v>
      </c>
      <c r="Z50" s="48"/>
      <c r="AA50" s="48"/>
      <c r="AB50" s="48"/>
      <c r="AC50" s="48"/>
      <c r="AD50" s="48"/>
    </row>
    <row r="51" ht="15.75" customHeight="1">
      <c r="A51" s="22">
        <v>49.0</v>
      </c>
      <c r="B51" s="24" t="s">
        <v>433</v>
      </c>
      <c r="C51" s="26" t="s">
        <v>304</v>
      </c>
      <c r="D51" s="22">
        <v>27.0</v>
      </c>
      <c r="E51" s="28" t="s">
        <v>42</v>
      </c>
      <c r="F51" s="28" t="s">
        <v>114</v>
      </c>
      <c r="G51" s="28">
        <v>33.0</v>
      </c>
      <c r="H51" s="28">
        <v>13.0</v>
      </c>
      <c r="I51" s="28">
        <v>15.0</v>
      </c>
      <c r="J51" s="28">
        <v>3.0</v>
      </c>
      <c r="K51" s="33">
        <v>3.05</v>
      </c>
      <c r="L51" s="36">
        <v>0.895</v>
      </c>
      <c r="M51" s="28">
        <v>0.0</v>
      </c>
      <c r="N51" s="28">
        <f t="shared" si="1"/>
        <v>29</v>
      </c>
      <c r="O51" s="43">
        <v>51.5</v>
      </c>
      <c r="P51" s="43">
        <v>18.2</v>
      </c>
      <c r="Q51" s="43">
        <v>13.6</v>
      </c>
      <c r="R51" s="33">
        <v>-26.68</v>
      </c>
      <c r="S51" s="36">
        <v>0.899</v>
      </c>
      <c r="T51" s="43">
        <v>39.4</v>
      </c>
      <c r="U51" s="46">
        <v>2000000.0</v>
      </c>
      <c r="V51" s="24"/>
      <c r="W51" s="24" t="s">
        <v>77</v>
      </c>
      <c r="X51" s="24"/>
      <c r="Y51" s="24" t="s">
        <v>326</v>
      </c>
      <c r="Z51" s="48"/>
      <c r="AA51" s="48"/>
      <c r="AB51" s="48"/>
      <c r="AC51" s="48"/>
      <c r="AD51" s="48"/>
    </row>
    <row r="52" ht="15.75" customHeight="1">
      <c r="A52" s="22">
        <v>50.0</v>
      </c>
      <c r="B52" s="107" t="s">
        <v>441</v>
      </c>
      <c r="C52" s="26" t="s">
        <v>407</v>
      </c>
      <c r="D52" s="22">
        <v>30.0</v>
      </c>
      <c r="E52" s="28" t="s">
        <v>42</v>
      </c>
      <c r="F52" s="28" t="s">
        <v>170</v>
      </c>
      <c r="G52" s="28">
        <v>27.0</v>
      </c>
      <c r="H52" s="28">
        <v>10.0</v>
      </c>
      <c r="I52" s="28">
        <v>9.0</v>
      </c>
      <c r="J52" s="28">
        <v>6.0</v>
      </c>
      <c r="K52" s="33">
        <v>3.04</v>
      </c>
      <c r="L52" s="36">
        <v>0.871</v>
      </c>
      <c r="M52" s="28">
        <v>1.0</v>
      </c>
      <c r="N52" s="28">
        <f t="shared" si="1"/>
        <v>29</v>
      </c>
      <c r="O52" s="43">
        <v>29.6</v>
      </c>
      <c r="P52" s="43">
        <v>33.3</v>
      </c>
      <c r="Q52" s="43">
        <v>28.6</v>
      </c>
      <c r="R52" s="33">
        <v>-27.8</v>
      </c>
      <c r="S52" s="36">
        <v>0.876</v>
      </c>
      <c r="T52" s="43">
        <v>26.6</v>
      </c>
      <c r="U52" s="46">
        <v>6250000.0</v>
      </c>
      <c r="V52" s="24"/>
      <c r="W52" s="24" t="s">
        <v>77</v>
      </c>
      <c r="X52" s="24"/>
      <c r="Y52" s="24" t="s">
        <v>326</v>
      </c>
      <c r="Z52" s="48"/>
      <c r="AA52" s="48"/>
      <c r="AB52" s="48"/>
      <c r="AC52" s="48"/>
      <c r="AD52" s="48"/>
    </row>
    <row r="53" ht="15.75" customHeight="1">
      <c r="A53" s="28">
        <v>51.0</v>
      </c>
      <c r="B53" s="24" t="s">
        <v>448</v>
      </c>
      <c r="C53" s="26" t="s">
        <v>304</v>
      </c>
      <c r="D53" s="22">
        <v>31.0</v>
      </c>
      <c r="E53" s="28" t="s">
        <v>42</v>
      </c>
      <c r="F53" s="28" t="s">
        <v>261</v>
      </c>
      <c r="G53" s="28">
        <v>47.0</v>
      </c>
      <c r="H53" s="28">
        <v>11.0</v>
      </c>
      <c r="I53" s="28">
        <v>27.0</v>
      </c>
      <c r="J53" s="28">
        <v>5.0</v>
      </c>
      <c r="K53" s="33">
        <v>3.7</v>
      </c>
      <c r="L53" s="36">
        <v>0.875</v>
      </c>
      <c r="M53" s="28">
        <v>0.0</v>
      </c>
      <c r="N53" s="28">
        <f t="shared" si="1"/>
        <v>27</v>
      </c>
      <c r="O53" s="43">
        <v>38.3</v>
      </c>
      <c r="P53" s="43">
        <v>38.3</v>
      </c>
      <c r="Q53" s="43">
        <v>16.7</v>
      </c>
      <c r="R53" s="33">
        <v>-46.64</v>
      </c>
      <c r="S53" s="36">
        <v>0.892</v>
      </c>
      <c r="T53" s="43">
        <v>32.1</v>
      </c>
      <c r="U53" s="46">
        <v>4500000.0</v>
      </c>
      <c r="V53" s="24"/>
      <c r="W53" s="24" t="s">
        <v>77</v>
      </c>
      <c r="X53" s="24"/>
      <c r="Y53" s="24" t="s">
        <v>287</v>
      </c>
      <c r="Z53" s="48"/>
      <c r="AA53" s="48"/>
      <c r="AB53" s="48"/>
      <c r="AC53" s="48"/>
      <c r="AD53" s="48"/>
    </row>
    <row r="54" ht="15.75" customHeight="1">
      <c r="A54" s="22">
        <v>52.0</v>
      </c>
      <c r="B54" s="24" t="s">
        <v>455</v>
      </c>
      <c r="C54" s="26" t="s">
        <v>174</v>
      </c>
      <c r="D54" s="22">
        <v>29.0</v>
      </c>
      <c r="E54" s="28" t="s">
        <v>42</v>
      </c>
      <c r="F54" s="28" t="s">
        <v>262</v>
      </c>
      <c r="G54" s="28">
        <v>31.0</v>
      </c>
      <c r="H54" s="28">
        <v>10.0</v>
      </c>
      <c r="I54" s="28">
        <v>10.0</v>
      </c>
      <c r="J54" s="28">
        <v>6.0</v>
      </c>
      <c r="K54" s="33">
        <v>2.69</v>
      </c>
      <c r="L54" s="36">
        <v>0.909</v>
      </c>
      <c r="M54" s="28">
        <v>0.0</v>
      </c>
      <c r="N54" s="28">
        <f t="shared" si="1"/>
        <v>26</v>
      </c>
      <c r="O54" s="43">
        <v>64.5</v>
      </c>
      <c r="P54" s="43">
        <v>16.1</v>
      </c>
      <c r="Q54" s="43">
        <v>10.0</v>
      </c>
      <c r="R54" s="33">
        <v>0.22</v>
      </c>
      <c r="S54" s="36">
        <v>0.91</v>
      </c>
      <c r="T54" s="43">
        <v>52.8</v>
      </c>
      <c r="U54" s="46">
        <v>1350000.0</v>
      </c>
      <c r="V54" s="24"/>
      <c r="W54" s="24"/>
      <c r="X54" s="24"/>
      <c r="Y54" s="24" t="s">
        <v>334</v>
      </c>
      <c r="Z54" s="48"/>
      <c r="AA54" s="48"/>
      <c r="AB54" s="48"/>
      <c r="AC54" s="48"/>
      <c r="AD54" s="48"/>
    </row>
    <row r="55" ht="15.75" customHeight="1">
      <c r="A55" s="22">
        <v>53.0</v>
      </c>
      <c r="B55" s="24" t="s">
        <v>462</v>
      </c>
      <c r="C55" s="26" t="s">
        <v>304</v>
      </c>
      <c r="D55" s="22">
        <v>26.0</v>
      </c>
      <c r="E55" s="28" t="s">
        <v>42</v>
      </c>
      <c r="F55" s="28" t="s">
        <v>196</v>
      </c>
      <c r="G55" s="28">
        <v>28.0</v>
      </c>
      <c r="H55" s="28">
        <v>10.0</v>
      </c>
      <c r="I55" s="28">
        <v>12.0</v>
      </c>
      <c r="J55" s="28">
        <v>2.0</v>
      </c>
      <c r="K55" s="33">
        <v>2.64</v>
      </c>
      <c r="L55" s="36">
        <v>0.907</v>
      </c>
      <c r="M55" s="28">
        <v>1.0</v>
      </c>
      <c r="N55" s="28">
        <f t="shared" si="1"/>
        <v>25</v>
      </c>
      <c r="O55" s="43">
        <v>53.6</v>
      </c>
      <c r="P55" s="43">
        <v>21.4</v>
      </c>
      <c r="Q55" s="43">
        <v>14.3</v>
      </c>
      <c r="R55" s="33">
        <v>-8.29</v>
      </c>
      <c r="S55" s="36">
        <v>0.918</v>
      </c>
      <c r="T55" s="43">
        <v>45.4</v>
      </c>
      <c r="U55" s="46">
        <v>1250000.0</v>
      </c>
      <c r="V55" s="24"/>
      <c r="W55" s="24"/>
      <c r="X55" s="24"/>
      <c r="Y55" s="24" t="s">
        <v>334</v>
      </c>
      <c r="Z55" s="48"/>
      <c r="AA55" s="48"/>
      <c r="AB55" s="48"/>
      <c r="AC55" s="48"/>
      <c r="AD55" s="48"/>
    </row>
    <row r="56" ht="15.75" customHeight="1">
      <c r="A56" s="28">
        <v>54.0</v>
      </c>
      <c r="B56" s="75" t="s">
        <v>169</v>
      </c>
      <c r="C56" s="26" t="s">
        <v>304</v>
      </c>
      <c r="D56" s="22">
        <v>28.0</v>
      </c>
      <c r="E56" s="28" t="s">
        <v>42</v>
      </c>
      <c r="F56" s="28" t="s">
        <v>170</v>
      </c>
      <c r="G56" s="28">
        <v>18.0</v>
      </c>
      <c r="H56" s="28">
        <v>11.0</v>
      </c>
      <c r="I56" s="28">
        <v>3.0</v>
      </c>
      <c r="J56" s="28">
        <v>3.0</v>
      </c>
      <c r="K56" s="33">
        <v>2.71</v>
      </c>
      <c r="L56" s="36">
        <v>0.891</v>
      </c>
      <c r="M56" s="28">
        <v>0.0</v>
      </c>
      <c r="N56" s="28">
        <f t="shared" si="1"/>
        <v>25</v>
      </c>
      <c r="O56" s="43">
        <v>55.6</v>
      </c>
      <c r="P56" s="43">
        <v>22.2</v>
      </c>
      <c r="Q56" s="43">
        <v>22.2</v>
      </c>
      <c r="R56" s="33">
        <v>-17.63</v>
      </c>
      <c r="S56" s="36">
        <v>0.883</v>
      </c>
      <c r="T56" s="43">
        <v>32.9</v>
      </c>
      <c r="U56" s="46">
        <v>2000000.0</v>
      </c>
      <c r="V56" s="24"/>
      <c r="W56" s="24" t="s">
        <v>77</v>
      </c>
      <c r="X56" s="24"/>
      <c r="Y56" s="24" t="s">
        <v>326</v>
      </c>
      <c r="Z56" s="48"/>
      <c r="AA56" s="48"/>
      <c r="AB56" s="48"/>
      <c r="AC56" s="48"/>
      <c r="AD56" s="48"/>
    </row>
    <row r="57" ht="15.75" customHeight="1">
      <c r="A57" s="22">
        <v>55.0</v>
      </c>
      <c r="B57" s="24" t="s">
        <v>471</v>
      </c>
      <c r="C57" s="26" t="s">
        <v>304</v>
      </c>
      <c r="D57" s="28">
        <v>31.0</v>
      </c>
      <c r="E57" s="28" t="s">
        <v>42</v>
      </c>
      <c r="F57" s="28" t="s">
        <v>275</v>
      </c>
      <c r="G57" s="28">
        <v>25.0</v>
      </c>
      <c r="H57" s="28">
        <v>12.0</v>
      </c>
      <c r="I57" s="28">
        <v>11.0</v>
      </c>
      <c r="J57" s="28">
        <v>1.0</v>
      </c>
      <c r="K57" s="33">
        <v>3.13</v>
      </c>
      <c r="L57" s="36">
        <v>0.89</v>
      </c>
      <c r="M57" s="28">
        <v>0.0</v>
      </c>
      <c r="N57" s="28">
        <f t="shared" si="1"/>
        <v>25</v>
      </c>
      <c r="O57" s="43">
        <v>56.0</v>
      </c>
      <c r="P57" s="43">
        <v>32.0</v>
      </c>
      <c r="Q57" s="43">
        <v>17.6</v>
      </c>
      <c r="R57" s="33">
        <v>-11.09</v>
      </c>
      <c r="S57" s="36">
        <v>0.906</v>
      </c>
      <c r="T57" s="43">
        <v>38.7</v>
      </c>
      <c r="U57" s="46">
        <v>1150000.0</v>
      </c>
      <c r="V57" s="24"/>
      <c r="W57" s="24" t="s">
        <v>77</v>
      </c>
      <c r="X57" s="24"/>
      <c r="Y57" s="24" t="s">
        <v>326</v>
      </c>
      <c r="Z57" s="48"/>
      <c r="AA57" s="48"/>
      <c r="AB57" s="48"/>
      <c r="AC57" s="48"/>
      <c r="AD57" s="48"/>
    </row>
    <row r="58" ht="15.75" customHeight="1">
      <c r="A58" s="22">
        <v>56.0</v>
      </c>
      <c r="B58" s="107" t="s">
        <v>476</v>
      </c>
      <c r="C58" s="26" t="s">
        <v>407</v>
      </c>
      <c r="D58" s="22">
        <v>29.0</v>
      </c>
      <c r="E58" s="28" t="s">
        <v>42</v>
      </c>
      <c r="F58" s="28" t="s">
        <v>109</v>
      </c>
      <c r="G58" s="28">
        <v>25.0</v>
      </c>
      <c r="H58" s="28">
        <v>10.0</v>
      </c>
      <c r="I58" s="28">
        <v>8.0</v>
      </c>
      <c r="J58" s="28">
        <v>4.0</v>
      </c>
      <c r="K58" s="33">
        <v>3.43</v>
      </c>
      <c r="L58" s="36">
        <v>0.872</v>
      </c>
      <c r="M58" s="28">
        <v>0.0</v>
      </c>
      <c r="N58" s="28">
        <f t="shared" si="1"/>
        <v>24</v>
      </c>
      <c r="O58" s="43">
        <v>32.0</v>
      </c>
      <c r="P58" s="43">
        <v>52.0</v>
      </c>
      <c r="Q58" s="43">
        <v>47.1</v>
      </c>
      <c r="R58" s="33">
        <v>-1.38</v>
      </c>
      <c r="S58" s="36">
        <v>0.884</v>
      </c>
      <c r="T58" s="43">
        <v>27.7</v>
      </c>
      <c r="U58" s="46">
        <v>3150000.0</v>
      </c>
      <c r="V58" s="24"/>
      <c r="W58" s="24" t="s">
        <v>77</v>
      </c>
      <c r="X58" s="24"/>
      <c r="Y58" s="24" t="s">
        <v>326</v>
      </c>
      <c r="Z58" s="48"/>
      <c r="AA58" s="48"/>
      <c r="AB58" s="48"/>
      <c r="AC58" s="48"/>
      <c r="AD58" s="48"/>
    </row>
    <row r="59" ht="15.75" customHeight="1">
      <c r="A59" s="28">
        <v>57.0</v>
      </c>
      <c r="B59" s="24" t="s">
        <v>481</v>
      </c>
      <c r="C59" s="26" t="s">
        <v>407</v>
      </c>
      <c r="D59" s="22">
        <v>31.0</v>
      </c>
      <c r="E59" s="28" t="s">
        <v>42</v>
      </c>
      <c r="F59" s="28" t="s">
        <v>47</v>
      </c>
      <c r="G59" s="28">
        <v>25.0</v>
      </c>
      <c r="H59" s="28">
        <v>11.0</v>
      </c>
      <c r="I59" s="28">
        <v>10.0</v>
      </c>
      <c r="J59" s="28">
        <v>2.0</v>
      </c>
      <c r="K59" s="33">
        <v>3.29</v>
      </c>
      <c r="L59" s="36">
        <v>0.884</v>
      </c>
      <c r="M59" s="28">
        <v>0.0</v>
      </c>
      <c r="N59" s="28">
        <f t="shared" si="1"/>
        <v>24</v>
      </c>
      <c r="O59" s="43">
        <v>44.0</v>
      </c>
      <c r="P59" s="43">
        <v>24.0</v>
      </c>
      <c r="Q59" s="43">
        <v>33.3</v>
      </c>
      <c r="R59" s="33">
        <v>-19.11</v>
      </c>
      <c r="S59" s="36">
        <v>0.902</v>
      </c>
      <c r="T59" s="43">
        <v>28.8</v>
      </c>
      <c r="U59" s="46">
        <v>1250000.0</v>
      </c>
      <c r="V59" s="24"/>
      <c r="W59" s="24" t="s">
        <v>77</v>
      </c>
      <c r="X59" s="24"/>
      <c r="Y59" s="24" t="s">
        <v>326</v>
      </c>
      <c r="Z59" s="48"/>
      <c r="AA59" s="48"/>
      <c r="AB59" s="48"/>
      <c r="AC59" s="48"/>
      <c r="AD59" s="48"/>
    </row>
    <row r="60" ht="15.75" customHeight="1">
      <c r="A60" s="22">
        <v>58.0</v>
      </c>
      <c r="B60" s="107" t="s">
        <v>488</v>
      </c>
      <c r="C60" s="26" t="s">
        <v>407</v>
      </c>
      <c r="D60" s="22">
        <v>32.0</v>
      </c>
      <c r="E60" s="28" t="s">
        <v>42</v>
      </c>
      <c r="F60" s="28" t="s">
        <v>76</v>
      </c>
      <c r="G60" s="28">
        <v>21.0</v>
      </c>
      <c r="H60" s="28">
        <v>9.0</v>
      </c>
      <c r="I60" s="28">
        <v>8.0</v>
      </c>
      <c r="J60" s="28">
        <v>3.0</v>
      </c>
      <c r="K60" s="33">
        <v>3.52</v>
      </c>
      <c r="L60" s="36">
        <v>0.879</v>
      </c>
      <c r="M60" s="28">
        <v>1.0</v>
      </c>
      <c r="N60" s="28">
        <f t="shared" si="1"/>
        <v>24</v>
      </c>
      <c r="O60" s="43">
        <v>23.8</v>
      </c>
      <c r="P60" s="43">
        <v>23.8</v>
      </c>
      <c r="Q60" s="43">
        <v>25.0</v>
      </c>
      <c r="R60" s="33">
        <v>-9.94</v>
      </c>
      <c r="S60" s="36">
        <v>0.891</v>
      </c>
      <c r="T60" s="43">
        <v>27.5</v>
      </c>
      <c r="U60" s="46">
        <v>3000000.0</v>
      </c>
      <c r="V60" s="24"/>
      <c r="W60" s="24" t="s">
        <v>77</v>
      </c>
      <c r="X60" s="24"/>
      <c r="Y60" s="24" t="s">
        <v>326</v>
      </c>
      <c r="Z60" s="48"/>
      <c r="AA60" s="48"/>
      <c r="AB60" s="48"/>
      <c r="AC60" s="48"/>
      <c r="AD60" s="48"/>
    </row>
    <row r="61" ht="15.75" customHeight="1">
      <c r="A61" s="22">
        <v>59.0</v>
      </c>
      <c r="B61" s="24" t="s">
        <v>405</v>
      </c>
      <c r="C61" s="26" t="s">
        <v>304</v>
      </c>
      <c r="D61" s="22">
        <v>21.0</v>
      </c>
      <c r="E61" s="28" t="s">
        <v>42</v>
      </c>
      <c r="F61" s="28" t="s">
        <v>109</v>
      </c>
      <c r="G61" s="28">
        <v>17.0</v>
      </c>
      <c r="H61" s="28">
        <v>9.0</v>
      </c>
      <c r="I61" s="28">
        <v>6.0</v>
      </c>
      <c r="J61" s="28">
        <v>2.0</v>
      </c>
      <c r="K61" s="33">
        <v>2.43</v>
      </c>
      <c r="L61" s="36">
        <v>0.908</v>
      </c>
      <c r="M61" s="28">
        <v>1.0</v>
      </c>
      <c r="N61" s="28">
        <f t="shared" si="1"/>
        <v>23</v>
      </c>
      <c r="O61" s="43">
        <v>58.8</v>
      </c>
      <c r="P61" s="43">
        <v>17.6</v>
      </c>
      <c r="Q61" s="43">
        <v>9.1</v>
      </c>
      <c r="R61" s="33">
        <v>-4.04</v>
      </c>
      <c r="S61" s="36">
        <v>0.913</v>
      </c>
      <c r="T61" s="43">
        <v>42.4</v>
      </c>
      <c r="U61" s="46">
        <v>945833.0</v>
      </c>
      <c r="V61" s="24"/>
      <c r="W61" s="24" t="s">
        <v>77</v>
      </c>
      <c r="X61" s="24"/>
      <c r="Y61" s="24" t="s">
        <v>334</v>
      </c>
      <c r="Z61" s="48"/>
      <c r="AA61" s="48"/>
      <c r="AB61" s="48"/>
      <c r="AC61" s="48"/>
      <c r="AD61" s="48"/>
    </row>
    <row r="62" ht="15.75" customHeight="1">
      <c r="A62" s="28">
        <v>60.0</v>
      </c>
      <c r="B62" s="107" t="s">
        <v>430</v>
      </c>
      <c r="C62" s="26" t="s">
        <v>304</v>
      </c>
      <c r="D62" s="22">
        <v>32.0</v>
      </c>
      <c r="E62" s="28" t="s">
        <v>42</v>
      </c>
      <c r="F62" s="28" t="s">
        <v>157</v>
      </c>
      <c r="G62" s="28">
        <v>26.0</v>
      </c>
      <c r="H62" s="28">
        <v>10.0</v>
      </c>
      <c r="I62" s="28">
        <v>10.0</v>
      </c>
      <c r="J62" s="28">
        <v>3.0</v>
      </c>
      <c r="K62" s="33">
        <v>3.28</v>
      </c>
      <c r="L62" s="36">
        <v>0.893</v>
      </c>
      <c r="M62" s="28">
        <v>0.0</v>
      </c>
      <c r="N62" s="28">
        <f t="shared" si="1"/>
        <v>23</v>
      </c>
      <c r="O62" s="43">
        <v>38.5</v>
      </c>
      <c r="P62" s="43">
        <v>23.1</v>
      </c>
      <c r="Q62" s="43">
        <v>13.3</v>
      </c>
      <c r="R62" s="33">
        <v>-11.78</v>
      </c>
      <c r="S62" s="36">
        <v>0.891</v>
      </c>
      <c r="T62" s="43">
        <v>33.6</v>
      </c>
      <c r="U62" s="46">
        <v>3750000.0</v>
      </c>
      <c r="V62" s="24"/>
      <c r="W62" s="24" t="s">
        <v>77</v>
      </c>
      <c r="X62" s="24"/>
      <c r="Y62" s="24" t="s">
        <v>326</v>
      </c>
      <c r="Z62" s="48"/>
      <c r="AA62" s="48"/>
      <c r="AB62" s="48"/>
      <c r="AC62" s="48"/>
      <c r="AD62" s="48"/>
    </row>
    <row r="63" ht="15.75" customHeight="1">
      <c r="A63" s="22">
        <v>61.0</v>
      </c>
      <c r="B63" s="107" t="s">
        <v>501</v>
      </c>
      <c r="C63" s="26" t="s">
        <v>407</v>
      </c>
      <c r="D63" s="22">
        <v>31.0</v>
      </c>
      <c r="E63" s="28" t="s">
        <v>42</v>
      </c>
      <c r="F63" s="28" t="s">
        <v>192</v>
      </c>
      <c r="G63" s="28">
        <v>20.0</v>
      </c>
      <c r="H63" s="28">
        <v>10.0</v>
      </c>
      <c r="I63" s="28">
        <v>8.0</v>
      </c>
      <c r="J63" s="28">
        <v>2.0</v>
      </c>
      <c r="K63" s="33">
        <v>3.25</v>
      </c>
      <c r="L63" s="36">
        <v>0.884</v>
      </c>
      <c r="M63" s="28">
        <v>0.0</v>
      </c>
      <c r="N63" s="28">
        <f t="shared" si="1"/>
        <v>22</v>
      </c>
      <c r="O63" s="43">
        <v>40.0</v>
      </c>
      <c r="P63" s="43">
        <v>35.0</v>
      </c>
      <c r="Q63" s="43">
        <v>38.5</v>
      </c>
      <c r="R63" s="33">
        <v>-16.18</v>
      </c>
      <c r="S63" s="36">
        <v>0.885</v>
      </c>
      <c r="T63" s="43">
        <v>23.3</v>
      </c>
      <c r="U63" s="46">
        <v>2200000.0</v>
      </c>
      <c r="V63" s="24"/>
      <c r="W63" s="24" t="s">
        <v>77</v>
      </c>
      <c r="X63" s="24"/>
      <c r="Y63" s="24" t="s">
        <v>326</v>
      </c>
      <c r="Z63" s="48"/>
      <c r="AA63" s="48"/>
      <c r="AB63" s="48"/>
      <c r="AC63" s="48"/>
      <c r="AD63" s="48"/>
    </row>
    <row r="64" ht="15.75" customHeight="1">
      <c r="A64" s="22">
        <v>62.0</v>
      </c>
      <c r="B64" s="24" t="s">
        <v>367</v>
      </c>
      <c r="C64" s="26" t="s">
        <v>304</v>
      </c>
      <c r="D64" s="22">
        <v>30.0</v>
      </c>
      <c r="E64" s="28" t="s">
        <v>42</v>
      </c>
      <c r="F64" s="28" t="s">
        <v>261</v>
      </c>
      <c r="G64" s="28">
        <v>20.0</v>
      </c>
      <c r="H64" s="28">
        <v>8.0</v>
      </c>
      <c r="I64" s="28">
        <v>10.0</v>
      </c>
      <c r="J64" s="28">
        <v>1.0</v>
      </c>
      <c r="K64" s="33">
        <v>2.85</v>
      </c>
      <c r="L64" s="36">
        <v>0.897</v>
      </c>
      <c r="M64" s="28">
        <v>1.0</v>
      </c>
      <c r="N64" s="28">
        <f t="shared" si="1"/>
        <v>20</v>
      </c>
      <c r="O64" s="43">
        <v>50.0</v>
      </c>
      <c r="P64" s="43">
        <v>20.0</v>
      </c>
      <c r="Q64" s="43">
        <v>9.1</v>
      </c>
      <c r="R64" s="33">
        <v>5.7</v>
      </c>
      <c r="S64" s="36">
        <v>0.903</v>
      </c>
      <c r="T64" s="43">
        <v>38.5</v>
      </c>
      <c r="U64" s="46">
        <v>8500000.0</v>
      </c>
      <c r="V64" s="24"/>
      <c r="W64" s="24" t="s">
        <v>77</v>
      </c>
      <c r="X64" s="24"/>
      <c r="Y64" s="24" t="s">
        <v>334</v>
      </c>
      <c r="Z64" s="48"/>
      <c r="AA64" s="48"/>
      <c r="AB64" s="48"/>
      <c r="AC64" s="48"/>
      <c r="AD64" s="48"/>
    </row>
    <row r="65" ht="15.75" customHeight="1">
      <c r="A65" s="28">
        <v>63.0</v>
      </c>
      <c r="B65" s="75" t="s">
        <v>509</v>
      </c>
      <c r="C65" s="26" t="s">
        <v>304</v>
      </c>
      <c r="D65" s="22">
        <v>38.0</v>
      </c>
      <c r="E65" s="28" t="s">
        <v>42</v>
      </c>
      <c r="F65" s="28"/>
      <c r="G65" s="28">
        <v>14.0</v>
      </c>
      <c r="H65" s="28">
        <v>7.0</v>
      </c>
      <c r="I65" s="28">
        <v>4.0</v>
      </c>
      <c r="J65" s="28">
        <v>2.0</v>
      </c>
      <c r="K65" s="33">
        <v>2.42</v>
      </c>
      <c r="L65" s="36">
        <v>0.886</v>
      </c>
      <c r="M65" s="28">
        <v>1.0</v>
      </c>
      <c r="N65" s="28">
        <f t="shared" si="1"/>
        <v>19</v>
      </c>
      <c r="O65" s="43">
        <v>50.0</v>
      </c>
      <c r="P65" s="43">
        <v>21.4</v>
      </c>
      <c r="Q65" s="43">
        <v>0.0</v>
      </c>
      <c r="R65" s="33">
        <v>-10.61</v>
      </c>
      <c r="S65" s="36">
        <v>0.897</v>
      </c>
      <c r="T65" s="43">
        <v>33.6</v>
      </c>
      <c r="U65" s="142"/>
      <c r="V65" s="24" t="s">
        <v>77</v>
      </c>
      <c r="W65" s="24" t="s">
        <v>77</v>
      </c>
      <c r="X65" s="24"/>
      <c r="Y65" s="24" t="s">
        <v>334</v>
      </c>
      <c r="Z65" s="48"/>
      <c r="AA65" s="48"/>
      <c r="AB65" s="48"/>
      <c r="AC65" s="48"/>
      <c r="AD65" s="48"/>
    </row>
    <row r="66" ht="15.75" customHeight="1">
      <c r="A66" s="22">
        <v>64.0</v>
      </c>
      <c r="B66" s="24" t="s">
        <v>514</v>
      </c>
      <c r="C66" s="26" t="s">
        <v>407</v>
      </c>
      <c r="D66" s="22">
        <v>24.0</v>
      </c>
      <c r="E66" s="28" t="s">
        <v>42</v>
      </c>
      <c r="F66" s="28" t="s">
        <v>122</v>
      </c>
      <c r="G66" s="28">
        <v>20.0</v>
      </c>
      <c r="H66" s="28">
        <v>8.0</v>
      </c>
      <c r="I66" s="28">
        <v>10.0</v>
      </c>
      <c r="J66" s="28">
        <v>1.0</v>
      </c>
      <c r="K66" s="33">
        <v>3.51</v>
      </c>
      <c r="L66" s="36">
        <v>0.86</v>
      </c>
      <c r="M66" s="28">
        <v>0.0</v>
      </c>
      <c r="N66" s="28">
        <f t="shared" si="1"/>
        <v>17</v>
      </c>
      <c r="O66" s="43">
        <v>30.0</v>
      </c>
      <c r="P66" s="43">
        <v>35.0</v>
      </c>
      <c r="Q66" s="43">
        <v>33.3</v>
      </c>
      <c r="R66" s="33">
        <v>-16.15</v>
      </c>
      <c r="S66" s="36">
        <v>0.869</v>
      </c>
      <c r="T66" s="43">
        <v>17.9</v>
      </c>
      <c r="U66" s="46">
        <v>1100000.0</v>
      </c>
      <c r="V66" s="24"/>
      <c r="W66" s="24" t="s">
        <v>77</v>
      </c>
      <c r="X66" s="24"/>
      <c r="Y66" s="24" t="s">
        <v>326</v>
      </c>
      <c r="Z66" s="48"/>
      <c r="AA66" s="48"/>
      <c r="AB66" s="48"/>
      <c r="AC66" s="48"/>
      <c r="AD66" s="48"/>
    </row>
    <row r="67" ht="15.75" customHeight="1">
      <c r="A67" s="22">
        <v>65.0</v>
      </c>
      <c r="B67" s="24" t="s">
        <v>520</v>
      </c>
      <c r="C67" s="26" t="s">
        <v>304</v>
      </c>
      <c r="D67" s="22">
        <v>25.0</v>
      </c>
      <c r="E67" s="28" t="s">
        <v>42</v>
      </c>
      <c r="F67" s="28" t="s">
        <v>47</v>
      </c>
      <c r="G67" s="28">
        <v>20.0</v>
      </c>
      <c r="H67" s="28">
        <v>5.0</v>
      </c>
      <c r="I67" s="28">
        <v>7.0</v>
      </c>
      <c r="J67" s="28">
        <v>4.0</v>
      </c>
      <c r="K67" s="33">
        <v>2.8</v>
      </c>
      <c r="L67" s="36">
        <v>0.914</v>
      </c>
      <c r="M67" s="28">
        <v>1.0</v>
      </c>
      <c r="N67" s="28">
        <f t="shared" si="1"/>
        <v>17</v>
      </c>
      <c r="O67" s="43">
        <v>40.0</v>
      </c>
      <c r="P67" s="43">
        <v>10.0</v>
      </c>
      <c r="Q67" s="43">
        <v>7.7</v>
      </c>
      <c r="R67" s="33">
        <v>11.6</v>
      </c>
      <c r="S67" s="36">
        <v>0.913</v>
      </c>
      <c r="T67" s="43">
        <v>40.7</v>
      </c>
      <c r="U67" s="46">
        <v>841667.0</v>
      </c>
      <c r="V67" s="24"/>
      <c r="W67" s="24" t="s">
        <v>77</v>
      </c>
      <c r="X67" s="24"/>
      <c r="Y67" s="24" t="s">
        <v>334</v>
      </c>
      <c r="Z67" s="48"/>
      <c r="AA67" s="48"/>
      <c r="AB67" s="48"/>
      <c r="AC67" s="48"/>
      <c r="AD67" s="48"/>
    </row>
    <row r="68" ht="15.75" customHeight="1">
      <c r="A68" s="28">
        <v>66.0</v>
      </c>
      <c r="B68" s="24" t="s">
        <v>526</v>
      </c>
      <c r="C68" s="26" t="s">
        <v>407</v>
      </c>
      <c r="D68" s="22">
        <v>30.0</v>
      </c>
      <c r="E68" s="28" t="s">
        <v>42</v>
      </c>
      <c r="F68" s="28" t="s">
        <v>65</v>
      </c>
      <c r="G68" s="28">
        <v>22.0</v>
      </c>
      <c r="H68" s="28">
        <v>5.0</v>
      </c>
      <c r="I68" s="28">
        <v>13.0</v>
      </c>
      <c r="J68" s="28">
        <v>3.0</v>
      </c>
      <c r="K68" s="33">
        <v>2.93</v>
      </c>
      <c r="L68" s="36">
        <v>0.883</v>
      </c>
      <c r="M68" s="28">
        <v>1.0</v>
      </c>
      <c r="N68" s="28">
        <f t="shared" si="1"/>
        <v>16</v>
      </c>
      <c r="O68" s="43">
        <v>40.9</v>
      </c>
      <c r="P68" s="43">
        <v>31.8</v>
      </c>
      <c r="Q68" s="43">
        <v>29.4</v>
      </c>
      <c r="R68" s="33">
        <v>-8.0</v>
      </c>
      <c r="S68" s="36">
        <v>0.885</v>
      </c>
      <c r="T68" s="43">
        <v>26.2</v>
      </c>
      <c r="U68" s="46">
        <v>1000000.0</v>
      </c>
      <c r="V68" s="24"/>
      <c r="W68" s="24" t="s">
        <v>77</v>
      </c>
      <c r="X68" s="24"/>
      <c r="Y68" s="24" t="s">
        <v>326</v>
      </c>
      <c r="Z68" s="48"/>
      <c r="AA68" s="48"/>
      <c r="AB68" s="48"/>
      <c r="AC68" s="48"/>
      <c r="AD68" s="48"/>
    </row>
    <row r="69" ht="15.75" customHeight="1">
      <c r="A69" s="22">
        <v>67.0</v>
      </c>
      <c r="B69" s="24" t="s">
        <v>224</v>
      </c>
      <c r="C69" s="26" t="s">
        <v>304</v>
      </c>
      <c r="D69" s="28">
        <v>27.0</v>
      </c>
      <c r="E69" s="28" t="s">
        <v>42</v>
      </c>
      <c r="F69" s="28" t="s">
        <v>155</v>
      </c>
      <c r="G69" s="28">
        <v>9.0</v>
      </c>
      <c r="H69" s="28">
        <v>6.0</v>
      </c>
      <c r="I69" s="28">
        <v>2.0</v>
      </c>
      <c r="J69" s="28">
        <v>0.0</v>
      </c>
      <c r="K69" s="33">
        <v>2.33</v>
      </c>
      <c r="L69" s="36">
        <v>0.899</v>
      </c>
      <c r="M69" s="28">
        <v>1.0</v>
      </c>
      <c r="N69" s="28">
        <f t="shared" si="1"/>
        <v>15</v>
      </c>
      <c r="O69" s="43">
        <v>33.3</v>
      </c>
      <c r="P69" s="43">
        <v>33.3</v>
      </c>
      <c r="Q69" s="43">
        <v>33.3</v>
      </c>
      <c r="R69" s="33">
        <v>-0.07</v>
      </c>
      <c r="S69" s="36">
        <v>0.899</v>
      </c>
      <c r="T69" s="43">
        <v>31.1</v>
      </c>
      <c r="U69" s="46">
        <v>2000000.0</v>
      </c>
      <c r="V69" s="24"/>
      <c r="W69" s="24" t="s">
        <v>77</v>
      </c>
      <c r="X69" s="24"/>
      <c r="Y69" s="24" t="s">
        <v>326</v>
      </c>
      <c r="Z69" s="48"/>
      <c r="AA69" s="48"/>
      <c r="AB69" s="48"/>
      <c r="AC69" s="48"/>
      <c r="AD69" s="48"/>
    </row>
    <row r="70" ht="15.75" customHeight="1">
      <c r="A70" s="22">
        <v>68.0</v>
      </c>
      <c r="B70" s="107" t="s">
        <v>446</v>
      </c>
      <c r="C70" s="26" t="s">
        <v>407</v>
      </c>
      <c r="D70" s="22">
        <v>22.0</v>
      </c>
      <c r="E70" s="28" t="s">
        <v>42</v>
      </c>
      <c r="F70" s="28" t="s">
        <v>228</v>
      </c>
      <c r="G70" s="28">
        <v>5.0</v>
      </c>
      <c r="H70" s="28">
        <v>1.0</v>
      </c>
      <c r="I70" s="28">
        <v>1.0</v>
      </c>
      <c r="J70" s="28">
        <v>2.0</v>
      </c>
      <c r="K70" s="33">
        <v>2.56</v>
      </c>
      <c r="L70" s="36">
        <v>0.897</v>
      </c>
      <c r="M70" s="28">
        <v>1.0</v>
      </c>
      <c r="N70" s="28">
        <f t="shared" si="1"/>
        <v>7</v>
      </c>
      <c r="O70" s="43">
        <v>20.0</v>
      </c>
      <c r="P70" s="43">
        <v>0.0</v>
      </c>
      <c r="Q70" s="43">
        <v>0.0</v>
      </c>
      <c r="R70" s="33">
        <v>-0.36</v>
      </c>
      <c r="S70" s="36">
        <v>0.905</v>
      </c>
      <c r="T70" s="43">
        <v>29.6</v>
      </c>
      <c r="U70" s="46">
        <v>936110.0</v>
      </c>
      <c r="V70" s="24"/>
      <c r="W70" s="24"/>
      <c r="X70" s="24"/>
      <c r="Y70" s="24" t="s">
        <v>334</v>
      </c>
      <c r="Z70" s="48"/>
      <c r="AA70" s="48"/>
      <c r="AB70" s="48"/>
      <c r="AC70" s="48"/>
      <c r="AD70" s="48"/>
    </row>
    <row r="71" ht="15.75" customHeight="1">
      <c r="A71" s="28">
        <v>69.0</v>
      </c>
      <c r="B71" s="24" t="s">
        <v>482</v>
      </c>
      <c r="C71" s="26" t="s">
        <v>407</v>
      </c>
      <c r="D71" s="22">
        <v>24.0</v>
      </c>
      <c r="E71" s="28" t="s">
        <v>42</v>
      </c>
      <c r="F71" s="28" t="s">
        <v>225</v>
      </c>
      <c r="G71" s="28">
        <v>3.0</v>
      </c>
      <c r="H71" s="28">
        <v>2.0</v>
      </c>
      <c r="I71" s="28">
        <v>1.0</v>
      </c>
      <c r="J71" s="28">
        <v>0.0</v>
      </c>
      <c r="K71" s="33">
        <v>2.31</v>
      </c>
      <c r="L71" s="36">
        <v>0.918</v>
      </c>
      <c r="M71" s="28">
        <v>1.0</v>
      </c>
      <c r="N71" s="28">
        <f t="shared" si="1"/>
        <v>7</v>
      </c>
      <c r="O71" s="43">
        <v>66.7</v>
      </c>
      <c r="P71" s="43">
        <v>33.3</v>
      </c>
      <c r="Q71" s="43">
        <v>0.0</v>
      </c>
      <c r="R71" s="33">
        <v>1.65</v>
      </c>
      <c r="S71" s="36">
        <v>0.901</v>
      </c>
      <c r="T71" s="43">
        <v>30.3</v>
      </c>
      <c r="U71" s="181">
        <v>875000.0</v>
      </c>
      <c r="V71" s="24"/>
      <c r="W71" s="24" t="s">
        <v>77</v>
      </c>
      <c r="X71" s="24"/>
      <c r="Y71" s="24" t="s">
        <v>326</v>
      </c>
      <c r="Z71" s="48"/>
      <c r="AA71" s="48"/>
      <c r="AB71" s="48"/>
      <c r="AC71" s="48"/>
      <c r="AD71" s="48"/>
    </row>
    <row r="72" ht="15.75" customHeight="1">
      <c r="A72" s="22">
        <v>70.0</v>
      </c>
      <c r="B72" s="24" t="s">
        <v>548</v>
      </c>
      <c r="C72" s="26" t="s">
        <v>407</v>
      </c>
      <c r="D72" s="22">
        <v>27.0</v>
      </c>
      <c r="E72" s="28" t="s">
        <v>42</v>
      </c>
      <c r="F72" s="28" t="s">
        <v>76</v>
      </c>
      <c r="G72" s="28">
        <v>4.0</v>
      </c>
      <c r="H72" s="28">
        <v>3.0</v>
      </c>
      <c r="I72" s="28">
        <v>1.0</v>
      </c>
      <c r="J72" s="28">
        <v>0.0</v>
      </c>
      <c r="K72" s="33">
        <v>2.0</v>
      </c>
      <c r="L72" s="36">
        <v>0.921</v>
      </c>
      <c r="M72" s="28">
        <v>0.0</v>
      </c>
      <c r="N72" s="28">
        <f t="shared" si="1"/>
        <v>6</v>
      </c>
      <c r="O72" s="43">
        <v>50.0</v>
      </c>
      <c r="P72" s="43">
        <v>0.0</v>
      </c>
      <c r="Q72" s="43">
        <v>0.0</v>
      </c>
      <c r="R72" s="33">
        <v>1.22</v>
      </c>
      <c r="S72" s="36">
        <v>0.916</v>
      </c>
      <c r="T72" s="43">
        <v>30.3</v>
      </c>
      <c r="U72" s="181">
        <v>775000.0</v>
      </c>
      <c r="V72" s="24"/>
      <c r="W72" s="24"/>
      <c r="X72" s="24"/>
      <c r="Y72" s="24" t="s">
        <v>334</v>
      </c>
      <c r="Z72" s="48"/>
      <c r="AA72" s="48"/>
      <c r="AB72" s="48"/>
      <c r="AC72" s="48"/>
      <c r="AD72" s="48"/>
    </row>
    <row r="73" ht="15.75" customHeight="1">
      <c r="A73" s="22">
        <v>71.0</v>
      </c>
      <c r="B73" s="24" t="s">
        <v>557</v>
      </c>
      <c r="C73" s="26" t="s">
        <v>407</v>
      </c>
      <c r="D73" s="22">
        <v>34.0</v>
      </c>
      <c r="E73" s="28" t="s">
        <v>42</v>
      </c>
      <c r="F73" s="28"/>
      <c r="G73" s="28">
        <v>10.0</v>
      </c>
      <c r="H73" s="28">
        <v>3.0</v>
      </c>
      <c r="I73" s="28">
        <v>5.0</v>
      </c>
      <c r="J73" s="28">
        <v>0.0</v>
      </c>
      <c r="K73" s="33">
        <v>4.07</v>
      </c>
      <c r="L73" s="36">
        <v>0.858</v>
      </c>
      <c r="M73" s="28">
        <v>0.0</v>
      </c>
      <c r="N73" s="28">
        <f t="shared" si="1"/>
        <v>6</v>
      </c>
      <c r="O73" s="43">
        <v>20.0</v>
      </c>
      <c r="P73" s="43">
        <v>50.0</v>
      </c>
      <c r="Q73" s="43">
        <v>22.2</v>
      </c>
      <c r="R73" s="33">
        <v>-7.53</v>
      </c>
      <c r="S73" s="36">
        <v>0.868</v>
      </c>
      <c r="T73" s="43">
        <v>17.8</v>
      </c>
      <c r="U73" s="142"/>
      <c r="V73" s="24"/>
      <c r="W73" s="24" t="s">
        <v>77</v>
      </c>
      <c r="X73" s="24"/>
      <c r="Y73" s="24" t="s">
        <v>326</v>
      </c>
      <c r="Z73" s="48"/>
      <c r="AA73" s="48"/>
      <c r="AB73" s="48"/>
      <c r="AC73" s="48"/>
      <c r="AD73" s="48"/>
    </row>
    <row r="74" ht="15.75" customHeight="1">
      <c r="A74" s="28">
        <v>72.0</v>
      </c>
      <c r="B74" s="24" t="s">
        <v>475</v>
      </c>
      <c r="C74" s="26" t="s">
        <v>407</v>
      </c>
      <c r="D74" s="28">
        <v>24.0</v>
      </c>
      <c r="E74" s="28" t="s">
        <v>42</v>
      </c>
      <c r="F74" s="28" t="s">
        <v>88</v>
      </c>
      <c r="G74" s="28">
        <v>3.0</v>
      </c>
      <c r="H74" s="28">
        <v>2.0</v>
      </c>
      <c r="I74" s="28">
        <v>0.0</v>
      </c>
      <c r="J74" s="28">
        <v>1.0</v>
      </c>
      <c r="K74" s="33">
        <v>1.62</v>
      </c>
      <c r="L74" s="36">
        <v>0.948</v>
      </c>
      <c r="M74" s="28">
        <v>0.0</v>
      </c>
      <c r="N74" s="28">
        <f t="shared" si="1"/>
        <v>5</v>
      </c>
      <c r="O74" s="43">
        <v>100.0</v>
      </c>
      <c r="P74" s="43">
        <v>0.0</v>
      </c>
      <c r="Q74" s="43">
        <v>0.0</v>
      </c>
      <c r="R74" s="33">
        <v>-5.0</v>
      </c>
      <c r="S74" s="36">
        <v>0.944</v>
      </c>
      <c r="T74" s="43">
        <v>30.7</v>
      </c>
      <c r="U74" s="181">
        <v>875000.0</v>
      </c>
      <c r="V74" s="24"/>
      <c r="W74" s="24"/>
      <c r="X74" s="24"/>
      <c r="Y74" s="24" t="s">
        <v>564</v>
      </c>
      <c r="Z74" s="48"/>
      <c r="AA74" s="48"/>
      <c r="AB74" s="48"/>
      <c r="AC74" s="48"/>
      <c r="AD74" s="48"/>
    </row>
    <row r="75" ht="15.75" customHeight="1">
      <c r="A75" s="22">
        <v>73.0</v>
      </c>
      <c r="B75" s="24" t="s">
        <v>489</v>
      </c>
      <c r="C75" s="26" t="s">
        <v>407</v>
      </c>
      <c r="D75" s="22">
        <v>25.0</v>
      </c>
      <c r="E75" s="28" t="s">
        <v>42</v>
      </c>
      <c r="F75" s="28" t="s">
        <v>363</v>
      </c>
      <c r="G75" s="28">
        <v>3.0</v>
      </c>
      <c r="H75" s="28">
        <v>2.0</v>
      </c>
      <c r="I75" s="28">
        <v>1.0</v>
      </c>
      <c r="J75" s="28">
        <v>0.0</v>
      </c>
      <c r="K75" s="33">
        <v>2.62</v>
      </c>
      <c r="L75" s="36">
        <v>0.908</v>
      </c>
      <c r="M75" s="28">
        <v>0.0</v>
      </c>
      <c r="N75" s="28">
        <f t="shared" si="1"/>
        <v>4</v>
      </c>
      <c r="O75" s="43">
        <v>66.7</v>
      </c>
      <c r="P75" s="43">
        <v>33.3</v>
      </c>
      <c r="Q75" s="43">
        <v>33.3</v>
      </c>
      <c r="R75" s="33">
        <v>-3.55</v>
      </c>
      <c r="S75" s="36">
        <v>0.903</v>
      </c>
      <c r="T75" s="43">
        <v>26.3</v>
      </c>
      <c r="U75" s="46">
        <v>1100000.0</v>
      </c>
      <c r="V75" s="24"/>
      <c r="W75" s="24" t="s">
        <v>77</v>
      </c>
      <c r="X75" s="24"/>
      <c r="Y75" s="24" t="s">
        <v>326</v>
      </c>
      <c r="Z75" s="48"/>
      <c r="AA75" s="48"/>
      <c r="AB75" s="48"/>
      <c r="AC75" s="48"/>
      <c r="AD75" s="48"/>
    </row>
    <row r="76" ht="15.75" customHeight="1">
      <c r="A76" s="22">
        <v>74.0</v>
      </c>
      <c r="B76" s="75" t="s">
        <v>569</v>
      </c>
      <c r="C76" s="26" t="s">
        <v>304</v>
      </c>
      <c r="D76" s="22">
        <v>32.0</v>
      </c>
      <c r="E76" s="28" t="s">
        <v>42</v>
      </c>
      <c r="F76" s="28"/>
      <c r="G76" s="28">
        <v>5.0</v>
      </c>
      <c r="H76" s="28">
        <v>0.0</v>
      </c>
      <c r="I76" s="28">
        <v>2.0</v>
      </c>
      <c r="J76" s="28">
        <v>1.0</v>
      </c>
      <c r="K76" s="33">
        <v>2.21</v>
      </c>
      <c r="L76" s="36">
        <v>0.922</v>
      </c>
      <c r="M76" s="28">
        <v>0.0</v>
      </c>
      <c r="N76" s="28">
        <f t="shared" si="1"/>
        <v>1</v>
      </c>
      <c r="O76" s="43">
        <v>60.0</v>
      </c>
      <c r="P76" s="43">
        <v>20.0</v>
      </c>
      <c r="Q76" s="43">
        <v>0.0</v>
      </c>
      <c r="R76" s="33">
        <v>2.85</v>
      </c>
      <c r="S76" s="36">
        <v>0.95</v>
      </c>
      <c r="T76" s="43">
        <v>30.9</v>
      </c>
      <c r="U76" s="142"/>
      <c r="V76" s="24"/>
      <c r="W76" s="24" t="s">
        <v>77</v>
      </c>
      <c r="X76" s="24"/>
      <c r="Y76" s="24" t="s">
        <v>564</v>
      </c>
      <c r="Z76" s="48"/>
      <c r="AA76" s="48"/>
      <c r="AB76" s="48"/>
      <c r="AC76" s="48"/>
      <c r="AD76" s="48"/>
    </row>
    <row r="77" ht="15.75" customHeight="1">
      <c r="A77" s="28">
        <v>75.0</v>
      </c>
      <c r="B77" s="24" t="s">
        <v>573</v>
      </c>
      <c r="C77" s="26" t="s">
        <v>407</v>
      </c>
      <c r="D77" s="28">
        <v>27.0</v>
      </c>
      <c r="E77" s="28" t="s">
        <v>42</v>
      </c>
      <c r="F77" s="28" t="s">
        <v>83</v>
      </c>
      <c r="G77" s="28">
        <v>1.0</v>
      </c>
      <c r="H77" s="28">
        <v>0.0</v>
      </c>
      <c r="I77" s="28">
        <v>0.0</v>
      </c>
      <c r="J77" s="28">
        <v>0.0</v>
      </c>
      <c r="K77" s="33">
        <v>0.0</v>
      </c>
      <c r="L77" s="36">
        <v>1.0</v>
      </c>
      <c r="M77" s="28">
        <v>0.0</v>
      </c>
      <c r="N77" s="28">
        <f t="shared" si="1"/>
        <v>0</v>
      </c>
      <c r="O77" s="43">
        <v>0.0</v>
      </c>
      <c r="P77" s="43">
        <v>0.0</v>
      </c>
      <c r="Q77" s="43">
        <v>0.0</v>
      </c>
      <c r="R77" s="33">
        <v>0.13</v>
      </c>
      <c r="S77" s="36">
        <v>1.0</v>
      </c>
      <c r="T77" s="43">
        <v>24.2</v>
      </c>
      <c r="U77" s="46">
        <v>812500.0</v>
      </c>
      <c r="V77" s="24"/>
      <c r="W77" s="24"/>
      <c r="X77" s="24"/>
      <c r="Y77" s="24" t="s">
        <v>334</v>
      </c>
      <c r="Z77" s="48"/>
      <c r="AA77" s="48"/>
      <c r="AB77" s="48"/>
      <c r="AC77" s="48"/>
      <c r="AD77" s="48"/>
    </row>
    <row r="78" ht="15.75" customHeight="1">
      <c r="A78" s="22">
        <v>76.0</v>
      </c>
      <c r="B78" s="75" t="s">
        <v>578</v>
      </c>
      <c r="C78" s="26" t="s">
        <v>407</v>
      </c>
      <c r="D78" s="22">
        <v>30.0</v>
      </c>
      <c r="E78" s="28" t="s">
        <v>42</v>
      </c>
      <c r="F78" s="28"/>
      <c r="G78" s="28">
        <v>1.0</v>
      </c>
      <c r="H78" s="28">
        <v>0.0</v>
      </c>
      <c r="I78" s="28">
        <v>1.0</v>
      </c>
      <c r="J78" s="28">
        <v>0.0</v>
      </c>
      <c r="K78" s="33">
        <v>3.35</v>
      </c>
      <c r="L78" s="36">
        <v>0.833</v>
      </c>
      <c r="M78" s="28">
        <v>0.0</v>
      </c>
      <c r="N78" s="28">
        <f t="shared" si="1"/>
        <v>0</v>
      </c>
      <c r="O78" s="43">
        <v>0.0</v>
      </c>
      <c r="P78" s="43">
        <v>100.0</v>
      </c>
      <c r="Q78" s="43">
        <v>0.0</v>
      </c>
      <c r="R78" s="33">
        <v>-0.64</v>
      </c>
      <c r="S78" s="36">
        <v>0.889</v>
      </c>
      <c r="T78" s="43">
        <v>21.4</v>
      </c>
      <c r="U78" s="142"/>
      <c r="V78" s="24"/>
      <c r="W78" s="24" t="s">
        <v>77</v>
      </c>
      <c r="X78" s="24"/>
      <c r="Y78" s="24" t="s">
        <v>326</v>
      </c>
      <c r="Z78" s="48"/>
      <c r="AA78" s="48"/>
      <c r="AB78" s="48"/>
      <c r="AC78" s="48"/>
      <c r="AD78" s="48"/>
    </row>
    <row r="79" ht="15.75" customHeight="1">
      <c r="A79" s="22">
        <v>77.0</v>
      </c>
      <c r="B79" s="75" t="s">
        <v>583</v>
      </c>
      <c r="C79" s="26" t="s">
        <v>407</v>
      </c>
      <c r="D79" s="22">
        <v>31.0</v>
      </c>
      <c r="E79" s="28" t="s">
        <v>42</v>
      </c>
      <c r="F79" s="28"/>
      <c r="G79" s="28">
        <v>1.0</v>
      </c>
      <c r="H79" s="28">
        <v>0.0</v>
      </c>
      <c r="I79" s="28">
        <v>0.0</v>
      </c>
      <c r="J79" s="28">
        <v>0.0</v>
      </c>
      <c r="K79" s="33">
        <v>8.9</v>
      </c>
      <c r="L79" s="36">
        <v>0.714</v>
      </c>
      <c r="M79" s="28">
        <v>0.0</v>
      </c>
      <c r="N79" s="28">
        <f t="shared" si="1"/>
        <v>0</v>
      </c>
      <c r="O79" s="43">
        <v>0.0</v>
      </c>
      <c r="P79" s="43">
        <v>100.0</v>
      </c>
      <c r="Q79" s="43">
        <v>0.0</v>
      </c>
      <c r="R79" s="33">
        <v>-1.36</v>
      </c>
      <c r="S79" s="36">
        <v>0.5</v>
      </c>
      <c r="T79" s="43">
        <v>18.6</v>
      </c>
      <c r="U79" s="142"/>
      <c r="V79" s="24"/>
      <c r="W79" s="24" t="s">
        <v>77</v>
      </c>
      <c r="X79" s="24"/>
      <c r="Y79" s="24" t="s">
        <v>326</v>
      </c>
      <c r="Z79" s="48"/>
      <c r="AA79" s="48"/>
      <c r="AB79" s="48"/>
      <c r="AC79" s="48"/>
      <c r="AD79" s="48"/>
    </row>
    <row r="80" ht="15.75" customHeight="1">
      <c r="A80" s="28">
        <v>78.0</v>
      </c>
      <c r="B80" s="24" t="s">
        <v>588</v>
      </c>
      <c r="C80" s="26" t="s">
        <v>407</v>
      </c>
      <c r="D80" s="22">
        <v>33.0</v>
      </c>
      <c r="E80" s="28" t="s">
        <v>42</v>
      </c>
      <c r="F80" s="28" t="s">
        <v>192</v>
      </c>
      <c r="G80" s="28">
        <v>1.0</v>
      </c>
      <c r="H80" s="28">
        <v>0.0</v>
      </c>
      <c r="I80" s="28">
        <v>1.0</v>
      </c>
      <c r="J80" s="28">
        <v>0.0</v>
      </c>
      <c r="K80" s="33">
        <v>5.07</v>
      </c>
      <c r="L80" s="36">
        <v>0.783</v>
      </c>
      <c r="M80" s="28">
        <v>0.0</v>
      </c>
      <c r="N80" s="28">
        <f t="shared" si="1"/>
        <v>0</v>
      </c>
      <c r="O80" s="43">
        <v>0.0</v>
      </c>
      <c r="P80" s="43">
        <v>100.0</v>
      </c>
      <c r="Q80" s="43">
        <v>100.0</v>
      </c>
      <c r="R80" s="33">
        <v>-1.34</v>
      </c>
      <c r="S80" s="36">
        <v>0.8</v>
      </c>
      <c r="T80" s="43">
        <v>20.7</v>
      </c>
      <c r="U80" s="46">
        <v>1100000.0</v>
      </c>
      <c r="V80" s="24"/>
      <c r="W80" s="24" t="s">
        <v>77</v>
      </c>
      <c r="X80" s="24"/>
      <c r="Y80" s="24" t="s">
        <v>326</v>
      </c>
      <c r="Z80" s="48"/>
      <c r="AA80" s="48"/>
      <c r="AB80" s="48"/>
      <c r="AC80" s="48"/>
      <c r="AD80" s="48"/>
    </row>
    <row r="81" ht="15.75" customHeight="1">
      <c r="A81" s="184"/>
      <c r="B81" s="185" t="s">
        <v>593</v>
      </c>
      <c r="C81" s="184"/>
      <c r="D81" s="186"/>
      <c r="E81" s="184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ht="15.75" customHeight="1">
      <c r="A82" s="7"/>
      <c r="B82" s="7"/>
      <c r="C82" s="7"/>
      <c r="D82" s="187"/>
      <c r="E82" s="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ht="15.75" customHeight="1">
      <c r="A83" s="7"/>
      <c r="B83" s="7"/>
      <c r="C83" s="7"/>
      <c r="D83" s="187"/>
      <c r="E83" s="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ht="15.75" customHeight="1">
      <c r="A84" s="7"/>
      <c r="B84" s="7"/>
      <c r="C84" s="7"/>
      <c r="D84" s="187"/>
      <c r="E84" s="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ht="15.75" customHeight="1">
      <c r="A85" s="7"/>
      <c r="B85" s="7"/>
      <c r="C85" s="7"/>
      <c r="D85" s="187"/>
      <c r="E85" s="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ht="15.75" customHeight="1">
      <c r="A86" s="7"/>
      <c r="B86" s="7"/>
      <c r="C86" s="7"/>
      <c r="D86" s="187"/>
      <c r="E86" s="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ht="15.75" customHeight="1">
      <c r="A87" s="7"/>
      <c r="B87" s="7"/>
      <c r="C87" s="7"/>
      <c r="D87" s="187"/>
      <c r="E87" s="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ht="15.75" customHeight="1">
      <c r="A88" s="7"/>
      <c r="B88" s="7"/>
      <c r="C88" s="7"/>
      <c r="D88" s="187"/>
      <c r="E88" s="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ht="15.75" customHeight="1">
      <c r="A89" s="7"/>
      <c r="B89" s="7"/>
      <c r="C89" s="7"/>
      <c r="D89" s="187"/>
      <c r="E89" s="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ht="15.75" customHeight="1">
      <c r="A90" s="7"/>
      <c r="B90" s="7"/>
      <c r="C90" s="7"/>
      <c r="D90" s="187"/>
      <c r="E90" s="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ht="15.75" customHeight="1">
      <c r="A91" s="7"/>
      <c r="B91" s="7"/>
      <c r="C91" s="7"/>
      <c r="D91" s="187"/>
      <c r="E91" s="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>
      <c r="A92" s="7"/>
      <c r="B92" s="7"/>
      <c r="C92" s="7"/>
      <c r="D92" s="187"/>
      <c r="E92" s="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>
      <c r="A93" s="7"/>
      <c r="B93" s="7"/>
      <c r="C93" s="7"/>
      <c r="D93" s="187"/>
      <c r="E93" s="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>
      <c r="A94" s="7"/>
      <c r="B94" s="7"/>
      <c r="C94" s="7"/>
      <c r="D94" s="187"/>
      <c r="E94" s="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>
      <c r="A95" s="7"/>
      <c r="B95" s="7"/>
      <c r="C95" s="7"/>
      <c r="D95" s="187"/>
      <c r="E95" s="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>
      <c r="A96" s="7"/>
      <c r="B96" s="7"/>
      <c r="C96" s="7"/>
      <c r="D96" s="187"/>
      <c r="E96" s="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>
      <c r="A97" s="7"/>
      <c r="B97" s="7"/>
      <c r="C97" s="7"/>
      <c r="D97" s="187"/>
      <c r="E97" s="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>
      <c r="A98" s="7"/>
      <c r="B98" s="7"/>
      <c r="C98" s="7"/>
      <c r="D98" s="187"/>
      <c r="E98" s="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>
      <c r="A99" s="7"/>
      <c r="B99" s="7"/>
      <c r="C99" s="7"/>
      <c r="D99" s="187"/>
      <c r="E99" s="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>
      <c r="A100" s="7"/>
      <c r="B100" s="7"/>
      <c r="C100" s="7"/>
      <c r="D100" s="187"/>
      <c r="E100" s="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>
      <c r="A101" s="7"/>
      <c r="B101" s="7"/>
      <c r="C101" s="7"/>
      <c r="D101" s="187"/>
      <c r="E101" s="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>
      <c r="A102" s="7"/>
      <c r="B102" s="7"/>
      <c r="C102" s="7"/>
      <c r="D102" s="187"/>
      <c r="E102" s="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>
      <c r="A103" s="7"/>
      <c r="B103" s="7"/>
      <c r="C103" s="7"/>
      <c r="D103" s="187"/>
      <c r="E103" s="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>
      <c r="A104" s="7"/>
      <c r="B104" s="7"/>
      <c r="C104" s="7"/>
      <c r="D104" s="187"/>
      <c r="E104" s="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>
      <c r="A105" s="7"/>
      <c r="B105" s="7"/>
      <c r="C105" s="7"/>
      <c r="D105" s="187"/>
      <c r="E105" s="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>
      <c r="A106" s="7"/>
      <c r="B106" s="7"/>
      <c r="C106" s="7"/>
      <c r="D106" s="187"/>
      <c r="E106" s="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>
      <c r="A107" s="7"/>
      <c r="B107" s="7"/>
      <c r="C107" s="7"/>
      <c r="D107" s="187"/>
      <c r="E107" s="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>
      <c r="A108" s="7"/>
      <c r="B108" s="7"/>
      <c r="C108" s="7"/>
      <c r="D108" s="187"/>
      <c r="E108" s="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>
      <c r="A109" s="7"/>
      <c r="B109" s="7"/>
      <c r="C109" s="7"/>
      <c r="D109" s="187"/>
      <c r="E109" s="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>
      <c r="A110" s="7"/>
      <c r="B110" s="7"/>
      <c r="C110" s="7"/>
      <c r="D110" s="187"/>
      <c r="E110" s="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>
      <c r="A111" s="7"/>
      <c r="B111" s="7"/>
      <c r="C111" s="7"/>
      <c r="D111" s="187"/>
      <c r="E111" s="7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>
      <c r="A112" s="7"/>
      <c r="B112" s="7"/>
      <c r="C112" s="7"/>
      <c r="D112" s="187"/>
      <c r="E112" s="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>
      <c r="A113" s="7"/>
      <c r="B113" s="7"/>
      <c r="C113" s="7"/>
      <c r="D113" s="187"/>
      <c r="E113" s="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>
      <c r="A114" s="7"/>
      <c r="B114" s="7"/>
      <c r="C114" s="7"/>
      <c r="D114" s="187"/>
      <c r="E114" s="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>
      <c r="A115" s="7"/>
      <c r="B115" s="7"/>
      <c r="C115" s="7"/>
      <c r="D115" s="187"/>
      <c r="E115" s="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>
      <c r="A116" s="7"/>
      <c r="B116" s="7"/>
      <c r="C116" s="7"/>
      <c r="D116" s="187"/>
      <c r="E116" s="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>
      <c r="A117" s="7"/>
      <c r="B117" s="7"/>
      <c r="C117" s="7"/>
      <c r="D117" s="187"/>
      <c r="E117" s="7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>
      <c r="A118" s="7"/>
      <c r="B118" s="7"/>
      <c r="C118" s="7"/>
      <c r="D118" s="187"/>
      <c r="E118" s="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>
      <c r="A119" s="7"/>
      <c r="B119" s="7"/>
      <c r="C119" s="7"/>
      <c r="D119" s="187"/>
      <c r="E119" s="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>
      <c r="A120" s="7"/>
      <c r="B120" s="7"/>
      <c r="C120" s="7"/>
      <c r="D120" s="187"/>
      <c r="E120" s="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>
      <c r="A121" s="7"/>
      <c r="B121" s="7"/>
      <c r="C121" s="7"/>
      <c r="D121" s="187"/>
      <c r="E121" s="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>
      <c r="A122" s="7"/>
      <c r="B122" s="7"/>
      <c r="C122" s="7"/>
      <c r="D122" s="187"/>
      <c r="E122" s="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>
      <c r="A123" s="7"/>
      <c r="B123" s="7"/>
      <c r="C123" s="7"/>
      <c r="D123" s="187"/>
      <c r="E123" s="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>
      <c r="A124" s="7"/>
      <c r="B124" s="7"/>
      <c r="C124" s="7"/>
      <c r="D124" s="187"/>
      <c r="E124" s="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>
      <c r="A125" s="7"/>
      <c r="B125" s="7"/>
      <c r="C125" s="7"/>
      <c r="D125" s="187"/>
      <c r="E125" s="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>
      <c r="A126" s="7"/>
      <c r="B126" s="7"/>
      <c r="C126" s="7"/>
      <c r="D126" s="187"/>
      <c r="E126" s="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>
      <c r="A127" s="7"/>
      <c r="B127" s="7"/>
      <c r="C127" s="7"/>
      <c r="D127" s="187"/>
      <c r="E127" s="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>
      <c r="A128" s="7"/>
      <c r="B128" s="7"/>
      <c r="C128" s="7"/>
      <c r="D128" s="187"/>
      <c r="E128" s="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>
      <c r="A129" s="7"/>
      <c r="B129" s="7"/>
      <c r="C129" s="7"/>
      <c r="D129" s="187"/>
      <c r="E129" s="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>
      <c r="A130" s="7"/>
      <c r="B130" s="7"/>
      <c r="C130" s="7"/>
      <c r="D130" s="187"/>
      <c r="E130" s="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>
      <c r="A131" s="7"/>
      <c r="B131" s="7"/>
      <c r="C131" s="7"/>
      <c r="D131" s="187"/>
      <c r="E131" s="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>
      <c r="A132" s="7"/>
      <c r="B132" s="7"/>
      <c r="C132" s="7"/>
      <c r="D132" s="187"/>
      <c r="E132" s="7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>
      <c r="A133" s="7"/>
      <c r="B133" s="7"/>
      <c r="C133" s="7"/>
      <c r="D133" s="187"/>
      <c r="E133" s="7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>
      <c r="A134" s="7"/>
      <c r="B134" s="7"/>
      <c r="C134" s="7"/>
      <c r="D134" s="187"/>
      <c r="E134" s="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>
      <c r="A135" s="7"/>
      <c r="B135" s="7"/>
      <c r="C135" s="7"/>
      <c r="D135" s="187"/>
      <c r="E135" s="7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>
      <c r="A136" s="7"/>
      <c r="B136" s="7"/>
      <c r="C136" s="7"/>
      <c r="D136" s="187"/>
      <c r="E136" s="7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>
      <c r="A137" s="7"/>
      <c r="B137" s="7"/>
      <c r="C137" s="7"/>
      <c r="D137" s="187"/>
      <c r="E137" s="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>
      <c r="A138" s="7"/>
      <c r="B138" s="7"/>
      <c r="C138" s="7"/>
      <c r="D138" s="187"/>
      <c r="E138" s="7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>
      <c r="A139" s="7"/>
      <c r="B139" s="7"/>
      <c r="C139" s="7"/>
      <c r="D139" s="187"/>
      <c r="E139" s="7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>
      <c r="A140" s="7"/>
      <c r="B140" s="7"/>
      <c r="C140" s="7"/>
      <c r="D140" s="187"/>
      <c r="E140" s="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>
      <c r="A141" s="7"/>
      <c r="B141" s="7"/>
      <c r="C141" s="7"/>
      <c r="D141" s="187"/>
      <c r="E141" s="7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>
      <c r="A142" s="7"/>
      <c r="B142" s="7"/>
      <c r="C142" s="7"/>
      <c r="D142" s="187"/>
      <c r="E142" s="7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>
      <c r="A143" s="7"/>
      <c r="B143" s="7"/>
      <c r="C143" s="7"/>
      <c r="D143" s="187"/>
      <c r="E143" s="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>
      <c r="A144" s="7"/>
      <c r="B144" s="7"/>
      <c r="C144" s="7"/>
      <c r="D144" s="187"/>
      <c r="E144" s="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>
      <c r="A145" s="7"/>
      <c r="B145" s="7"/>
      <c r="C145" s="7"/>
      <c r="D145" s="187"/>
      <c r="E145" s="7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>
      <c r="A146" s="7"/>
      <c r="B146" s="7"/>
      <c r="C146" s="7"/>
      <c r="D146" s="187"/>
      <c r="E146" s="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>
      <c r="A147" s="7"/>
      <c r="B147" s="7"/>
      <c r="C147" s="7"/>
      <c r="D147" s="187"/>
      <c r="E147" s="7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>
      <c r="A148" s="7"/>
      <c r="B148" s="7"/>
      <c r="C148" s="7"/>
      <c r="D148" s="187"/>
      <c r="E148" s="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>
      <c r="A149" s="7"/>
      <c r="B149" s="7"/>
      <c r="C149" s="7"/>
      <c r="D149" s="187"/>
      <c r="E149" s="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>
      <c r="A150" s="7"/>
      <c r="B150" s="7"/>
      <c r="C150" s="7"/>
      <c r="D150" s="187"/>
      <c r="E150" s="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>
      <c r="A151" s="7"/>
      <c r="B151" s="7"/>
      <c r="C151" s="7"/>
      <c r="D151" s="187"/>
      <c r="E151" s="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>
      <c r="A152" s="7"/>
      <c r="B152" s="7"/>
      <c r="C152" s="7"/>
      <c r="D152" s="187"/>
      <c r="E152" s="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>
      <c r="A153" s="7"/>
      <c r="B153" s="7"/>
      <c r="C153" s="7"/>
      <c r="D153" s="187"/>
      <c r="E153" s="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>
      <c r="A154" s="7"/>
      <c r="B154" s="7"/>
      <c r="C154" s="7"/>
      <c r="D154" s="187"/>
      <c r="E154" s="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>
      <c r="A155" s="7"/>
      <c r="B155" s="7"/>
      <c r="C155" s="7"/>
      <c r="D155" s="187"/>
      <c r="E155" s="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>
      <c r="A156" s="7"/>
      <c r="B156" s="7"/>
      <c r="C156" s="7"/>
      <c r="D156" s="187"/>
      <c r="E156" s="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>
      <c r="A157" s="7"/>
      <c r="B157" s="7"/>
      <c r="C157" s="7"/>
      <c r="D157" s="187"/>
      <c r="E157" s="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>
      <c r="A158" s="7"/>
      <c r="B158" s="7"/>
      <c r="C158" s="7"/>
      <c r="D158" s="187"/>
      <c r="E158" s="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>
      <c r="A159" s="7"/>
      <c r="B159" s="7"/>
      <c r="C159" s="7"/>
      <c r="D159" s="187"/>
      <c r="E159" s="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>
      <c r="A160" s="7"/>
      <c r="B160" s="7"/>
      <c r="C160" s="7"/>
      <c r="D160" s="187"/>
      <c r="E160" s="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>
      <c r="A161" s="7"/>
      <c r="B161" s="7"/>
      <c r="C161" s="7"/>
      <c r="D161" s="187"/>
      <c r="E161" s="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>
      <c r="A162" s="7"/>
      <c r="B162" s="7"/>
      <c r="C162" s="7"/>
      <c r="D162" s="187"/>
      <c r="E162" s="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>
      <c r="A163" s="7"/>
      <c r="B163" s="7"/>
      <c r="C163" s="7"/>
      <c r="D163" s="187"/>
      <c r="E163" s="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>
      <c r="A164" s="7"/>
      <c r="B164" s="7"/>
      <c r="C164" s="7"/>
      <c r="D164" s="187"/>
      <c r="E164" s="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>
      <c r="A165" s="7"/>
      <c r="B165" s="7"/>
      <c r="C165" s="7"/>
      <c r="D165" s="187"/>
      <c r="E165" s="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>
      <c r="A166" s="7"/>
      <c r="B166" s="7"/>
      <c r="C166" s="7"/>
      <c r="D166" s="187"/>
      <c r="E166" s="7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>
      <c r="A167" s="7"/>
      <c r="B167" s="7"/>
      <c r="C167" s="7"/>
      <c r="D167" s="187"/>
      <c r="E167" s="7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>
      <c r="A168" s="7"/>
      <c r="B168" s="7"/>
      <c r="C168" s="7"/>
      <c r="D168" s="187"/>
      <c r="E168" s="7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>
      <c r="A169" s="7"/>
      <c r="B169" s="7"/>
      <c r="C169" s="7"/>
      <c r="D169" s="187"/>
      <c r="E169" s="7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>
      <c r="A170" s="7"/>
      <c r="B170" s="7"/>
      <c r="C170" s="7"/>
      <c r="D170" s="187"/>
      <c r="E170" s="7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>
      <c r="A171" s="7"/>
      <c r="B171" s="7"/>
      <c r="C171" s="7"/>
      <c r="D171" s="187"/>
      <c r="E171" s="7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>
      <c r="A172" s="7"/>
      <c r="B172" s="7"/>
      <c r="C172" s="7"/>
      <c r="D172" s="187"/>
      <c r="E172" s="7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>
      <c r="A173" s="7"/>
      <c r="B173" s="7"/>
      <c r="C173" s="7"/>
      <c r="D173" s="187"/>
      <c r="E173" s="7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>
      <c r="A174" s="7"/>
      <c r="B174" s="7"/>
      <c r="C174" s="7"/>
      <c r="D174" s="187"/>
      <c r="E174" s="7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>
      <c r="A175" s="7"/>
      <c r="B175" s="7"/>
      <c r="C175" s="7"/>
      <c r="D175" s="187"/>
      <c r="E175" s="7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>
      <c r="A176" s="7"/>
      <c r="B176" s="7"/>
      <c r="C176" s="7"/>
      <c r="D176" s="187"/>
      <c r="E176" s="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>
      <c r="A177" s="7"/>
      <c r="B177" s="7"/>
      <c r="C177" s="7"/>
      <c r="D177" s="187"/>
      <c r="E177" s="7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>
      <c r="A178" s="7"/>
      <c r="B178" s="7"/>
      <c r="C178" s="7"/>
      <c r="D178" s="187"/>
      <c r="E178" s="7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>
      <c r="A179" s="7"/>
      <c r="B179" s="7"/>
      <c r="C179" s="7"/>
      <c r="D179" s="187"/>
      <c r="E179" s="7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>
      <c r="A180" s="7"/>
      <c r="B180" s="7"/>
      <c r="C180" s="7"/>
      <c r="D180" s="187"/>
      <c r="E180" s="7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>
      <c r="A181" s="7"/>
      <c r="B181" s="7"/>
      <c r="C181" s="7"/>
      <c r="D181" s="187"/>
      <c r="E181" s="7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>
      <c r="A182" s="7"/>
      <c r="B182" s="7"/>
      <c r="C182" s="7"/>
      <c r="D182" s="187"/>
      <c r="E182" s="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>
      <c r="A183" s="7"/>
      <c r="B183" s="7"/>
      <c r="C183" s="7"/>
      <c r="D183" s="187"/>
      <c r="E183" s="7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>
      <c r="A184" s="7"/>
      <c r="B184" s="7"/>
      <c r="C184" s="7"/>
      <c r="D184" s="187"/>
      <c r="E184" s="7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>
      <c r="A185" s="7"/>
      <c r="B185" s="7"/>
      <c r="C185" s="7"/>
      <c r="D185" s="187"/>
      <c r="E185" s="7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>
      <c r="A186" s="7"/>
      <c r="B186" s="7"/>
      <c r="C186" s="7"/>
      <c r="D186" s="187"/>
      <c r="E186" s="7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>
      <c r="A187" s="7"/>
      <c r="B187" s="7"/>
      <c r="C187" s="7"/>
      <c r="D187" s="187"/>
      <c r="E187" s="7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>
      <c r="A188" s="7"/>
      <c r="B188" s="7"/>
      <c r="C188" s="7"/>
      <c r="D188" s="187"/>
      <c r="E188" s="7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>
      <c r="A189" s="7"/>
      <c r="B189" s="7"/>
      <c r="C189" s="7"/>
      <c r="D189" s="187"/>
      <c r="E189" s="7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>
      <c r="A190" s="7"/>
      <c r="B190" s="7"/>
      <c r="C190" s="7"/>
      <c r="D190" s="187"/>
      <c r="E190" s="7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>
      <c r="A191" s="7"/>
      <c r="B191" s="7"/>
      <c r="C191" s="7"/>
      <c r="D191" s="187"/>
      <c r="E191" s="7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>
      <c r="A192" s="7"/>
      <c r="B192" s="7"/>
      <c r="C192" s="7"/>
      <c r="D192" s="187"/>
      <c r="E192" s="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>
      <c r="A193" s="7"/>
      <c r="B193" s="7"/>
      <c r="C193" s="7"/>
      <c r="D193" s="187"/>
      <c r="E193" s="7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>
      <c r="A194" s="7"/>
      <c r="B194" s="7"/>
      <c r="C194" s="7"/>
      <c r="D194" s="187"/>
      <c r="E194" s="7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>
      <c r="A195" s="7"/>
      <c r="B195" s="7"/>
      <c r="C195" s="7"/>
      <c r="D195" s="187"/>
      <c r="E195" s="7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>
      <c r="A196" s="7"/>
      <c r="B196" s="7"/>
      <c r="C196" s="7"/>
      <c r="D196" s="187"/>
      <c r="E196" s="7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>
      <c r="A197" s="7"/>
      <c r="B197" s="7"/>
      <c r="C197" s="7"/>
      <c r="D197" s="187"/>
      <c r="E197" s="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>
      <c r="A198" s="7"/>
      <c r="B198" s="7"/>
      <c r="C198" s="7"/>
      <c r="D198" s="187"/>
      <c r="E198" s="7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>
      <c r="A199" s="7"/>
      <c r="B199" s="7"/>
      <c r="C199" s="7"/>
      <c r="D199" s="187"/>
      <c r="E199" s="7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>
      <c r="A200" s="7"/>
      <c r="B200" s="7"/>
      <c r="C200" s="7"/>
      <c r="D200" s="187"/>
      <c r="E200" s="7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>
      <c r="A201" s="7"/>
      <c r="B201" s="7"/>
      <c r="C201" s="7"/>
      <c r="D201" s="187"/>
      <c r="E201" s="7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>
      <c r="A202" s="7"/>
      <c r="B202" s="7"/>
      <c r="C202" s="7"/>
      <c r="D202" s="187"/>
      <c r="E202" s="7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>
      <c r="A203" s="7"/>
      <c r="B203" s="7"/>
      <c r="C203" s="7"/>
      <c r="D203" s="187"/>
      <c r="E203" s="7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>
      <c r="A204" s="7"/>
      <c r="B204" s="7"/>
      <c r="C204" s="7"/>
      <c r="D204" s="187"/>
      <c r="E204" s="7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>
      <c r="A205" s="7"/>
      <c r="B205" s="7"/>
      <c r="C205" s="7"/>
      <c r="D205" s="187"/>
      <c r="E205" s="7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>
      <c r="A206" s="7"/>
      <c r="B206" s="7"/>
      <c r="C206" s="7"/>
      <c r="D206" s="187"/>
      <c r="E206" s="7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>
      <c r="A207" s="7"/>
      <c r="B207" s="7"/>
      <c r="C207" s="7"/>
      <c r="D207" s="187"/>
      <c r="E207" s="7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>
      <c r="A208" s="7"/>
      <c r="B208" s="7"/>
      <c r="C208" s="7"/>
      <c r="D208" s="187"/>
      <c r="E208" s="7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>
      <c r="A209" s="7"/>
      <c r="B209" s="7"/>
      <c r="C209" s="7"/>
      <c r="D209" s="187"/>
      <c r="E209" s="7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>
      <c r="A210" s="7"/>
      <c r="B210" s="7"/>
      <c r="C210" s="7"/>
      <c r="D210" s="187"/>
      <c r="E210" s="7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>
      <c r="A211" s="7"/>
      <c r="B211" s="7"/>
      <c r="C211" s="7"/>
      <c r="D211" s="187"/>
      <c r="E211" s="7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>
      <c r="A212" s="7"/>
      <c r="B212" s="7"/>
      <c r="C212" s="7"/>
      <c r="D212" s="187"/>
      <c r="E212" s="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>
      <c r="A213" s="7"/>
      <c r="B213" s="7"/>
      <c r="C213" s="7"/>
      <c r="D213" s="187"/>
      <c r="E213" s="7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>
      <c r="A214" s="7"/>
      <c r="B214" s="7"/>
      <c r="C214" s="7"/>
      <c r="D214" s="187"/>
      <c r="E214" s="7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>
      <c r="A215" s="7"/>
      <c r="B215" s="7"/>
      <c r="C215" s="7"/>
      <c r="D215" s="187"/>
      <c r="E215" s="7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>
      <c r="A216" s="7"/>
      <c r="B216" s="7"/>
      <c r="C216" s="7"/>
      <c r="D216" s="187"/>
      <c r="E216" s="7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>
      <c r="A217" s="7"/>
      <c r="B217" s="7"/>
      <c r="C217" s="7"/>
      <c r="D217" s="187"/>
      <c r="E217" s="7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>
      <c r="A218" s="7"/>
      <c r="B218" s="7"/>
      <c r="C218" s="7"/>
      <c r="D218" s="187"/>
      <c r="E218" s="7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>
      <c r="A219" s="7"/>
      <c r="B219" s="7"/>
      <c r="C219" s="7"/>
      <c r="D219" s="187"/>
      <c r="E219" s="7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>
      <c r="A220" s="7"/>
      <c r="B220" s="7"/>
      <c r="C220" s="7"/>
      <c r="D220" s="187"/>
      <c r="E220" s="7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>
      <c r="A221" s="7"/>
      <c r="B221" s="7"/>
      <c r="C221" s="7"/>
      <c r="D221" s="187"/>
      <c r="E221" s="7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>
      <c r="A222" s="7"/>
      <c r="B222" s="7"/>
      <c r="C222" s="7"/>
      <c r="D222" s="187"/>
      <c r="E222" s="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>
      <c r="A223" s="7"/>
      <c r="B223" s="7"/>
      <c r="C223" s="7"/>
      <c r="D223" s="187"/>
      <c r="E223" s="7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>
      <c r="A224" s="7"/>
      <c r="B224" s="7"/>
      <c r="C224" s="7"/>
      <c r="D224" s="187"/>
      <c r="E224" s="7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>
      <c r="A225" s="7"/>
      <c r="B225" s="7"/>
      <c r="C225" s="7"/>
      <c r="D225" s="187"/>
      <c r="E225" s="7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>
      <c r="A226" s="7"/>
      <c r="B226" s="7"/>
      <c r="C226" s="7"/>
      <c r="D226" s="187"/>
      <c r="E226" s="7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>
      <c r="A227" s="7"/>
      <c r="B227" s="7"/>
      <c r="C227" s="7"/>
      <c r="D227" s="187"/>
      <c r="E227" s="7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>
      <c r="A228" s="7"/>
      <c r="B228" s="7"/>
      <c r="C228" s="7"/>
      <c r="D228" s="187"/>
      <c r="E228" s="7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>
      <c r="A229" s="7"/>
      <c r="B229" s="7"/>
      <c r="C229" s="7"/>
      <c r="D229" s="187"/>
      <c r="E229" s="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>
      <c r="A230" s="7"/>
      <c r="B230" s="7"/>
      <c r="C230" s="7"/>
      <c r="D230" s="187"/>
      <c r="E230" s="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>
      <c r="A231" s="7"/>
      <c r="B231" s="7"/>
      <c r="C231" s="7"/>
      <c r="D231" s="187"/>
      <c r="E231" s="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>
      <c r="A232" s="7"/>
      <c r="B232" s="7"/>
      <c r="C232" s="7"/>
      <c r="D232" s="187"/>
      <c r="E232" s="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>
      <c r="A233" s="7"/>
      <c r="B233" s="7"/>
      <c r="C233" s="7"/>
      <c r="D233" s="187"/>
      <c r="E233" s="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>
      <c r="A234" s="7"/>
      <c r="B234" s="7"/>
      <c r="C234" s="7"/>
      <c r="D234" s="187"/>
      <c r="E234" s="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>
      <c r="A235" s="7"/>
      <c r="B235" s="7"/>
      <c r="C235" s="7"/>
      <c r="D235" s="187"/>
      <c r="E235" s="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>
      <c r="A236" s="7"/>
      <c r="B236" s="7"/>
      <c r="C236" s="7"/>
      <c r="D236" s="187"/>
      <c r="E236" s="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>
      <c r="A237" s="7"/>
      <c r="B237" s="7"/>
      <c r="C237" s="7"/>
      <c r="D237" s="187"/>
      <c r="E237" s="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>
      <c r="A238" s="7"/>
      <c r="B238" s="7"/>
      <c r="C238" s="7"/>
      <c r="D238" s="187"/>
      <c r="E238" s="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>
      <c r="A239" s="7"/>
      <c r="B239" s="7"/>
      <c r="C239" s="7"/>
      <c r="D239" s="187"/>
      <c r="E239" s="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>
      <c r="A240" s="7"/>
      <c r="B240" s="7"/>
      <c r="C240" s="7"/>
      <c r="D240" s="187"/>
      <c r="E240" s="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>
      <c r="A241" s="7"/>
      <c r="B241" s="7"/>
      <c r="C241" s="7"/>
      <c r="D241" s="187"/>
      <c r="E241" s="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>
      <c r="A242" s="7"/>
      <c r="B242" s="7"/>
      <c r="C242" s="7"/>
      <c r="D242" s="187"/>
      <c r="E242" s="7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>
      <c r="A243" s="7"/>
      <c r="B243" s="7"/>
      <c r="C243" s="7"/>
      <c r="D243" s="187"/>
      <c r="E243" s="7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>
      <c r="A244" s="7"/>
      <c r="B244" s="7"/>
      <c r="C244" s="7"/>
      <c r="D244" s="187"/>
      <c r="E244" s="7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>
      <c r="A245" s="7"/>
      <c r="B245" s="7"/>
      <c r="C245" s="7"/>
      <c r="D245" s="187"/>
      <c r="E245" s="7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>
      <c r="A246" s="7"/>
      <c r="B246" s="7"/>
      <c r="C246" s="7"/>
      <c r="D246" s="187"/>
      <c r="E246" s="7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>
      <c r="A247" s="7"/>
      <c r="B247" s="7"/>
      <c r="C247" s="7"/>
      <c r="D247" s="187"/>
      <c r="E247" s="7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>
      <c r="A248" s="7"/>
      <c r="B248" s="7"/>
      <c r="C248" s="7"/>
      <c r="D248" s="187"/>
      <c r="E248" s="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>
      <c r="A249" s="7"/>
      <c r="B249" s="7"/>
      <c r="C249" s="7"/>
      <c r="D249" s="187"/>
      <c r="E249" s="7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>
      <c r="A250" s="7"/>
      <c r="B250" s="7"/>
      <c r="C250" s="7"/>
      <c r="D250" s="187"/>
      <c r="E250" s="7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>
      <c r="A251" s="7"/>
      <c r="B251" s="7"/>
      <c r="C251" s="7"/>
      <c r="D251" s="187"/>
      <c r="E251" s="7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>
      <c r="A252" s="7"/>
      <c r="B252" s="7"/>
      <c r="C252" s="7"/>
      <c r="D252" s="187"/>
      <c r="E252" s="7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>
      <c r="A253" s="7"/>
      <c r="B253" s="7"/>
      <c r="C253" s="7"/>
      <c r="D253" s="187"/>
      <c r="E253" s="7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>
      <c r="A254" s="7"/>
      <c r="B254" s="7"/>
      <c r="C254" s="7"/>
      <c r="D254" s="187"/>
      <c r="E254" s="7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>
      <c r="A255" s="7"/>
      <c r="B255" s="7"/>
      <c r="C255" s="7"/>
      <c r="D255" s="187"/>
      <c r="E255" s="7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>
      <c r="A256" s="7"/>
      <c r="B256" s="7"/>
      <c r="C256" s="7"/>
      <c r="D256" s="187"/>
      <c r="E256" s="7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>
      <c r="A257" s="7"/>
      <c r="B257" s="7"/>
      <c r="C257" s="7"/>
      <c r="D257" s="187"/>
      <c r="E257" s="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>
      <c r="A258" s="7"/>
      <c r="B258" s="7"/>
      <c r="C258" s="7"/>
      <c r="D258" s="187"/>
      <c r="E258" s="7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>
      <c r="A259" s="7"/>
      <c r="B259" s="7"/>
      <c r="C259" s="7"/>
      <c r="D259" s="187"/>
      <c r="E259" s="7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>
      <c r="A260" s="7"/>
      <c r="B260" s="7"/>
      <c r="C260" s="7"/>
      <c r="D260" s="187"/>
      <c r="E260" s="7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>
      <c r="A261" s="7"/>
      <c r="B261" s="7"/>
      <c r="C261" s="7"/>
      <c r="D261" s="187"/>
      <c r="E261" s="7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>
      <c r="A262" s="7"/>
      <c r="B262" s="7"/>
      <c r="C262" s="7"/>
      <c r="D262" s="187"/>
      <c r="E262" s="7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>
      <c r="A263" s="7"/>
      <c r="B263" s="7"/>
      <c r="C263" s="7"/>
      <c r="D263" s="187"/>
      <c r="E263" s="7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>
      <c r="A264" s="7"/>
      <c r="B264" s="7"/>
      <c r="C264" s="7"/>
      <c r="D264" s="187"/>
      <c r="E264" s="7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>
      <c r="A265" s="7"/>
      <c r="B265" s="7"/>
      <c r="C265" s="7"/>
      <c r="D265" s="187"/>
      <c r="E265" s="7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>
      <c r="A266" s="7"/>
      <c r="B266" s="7"/>
      <c r="C266" s="7"/>
      <c r="D266" s="187"/>
      <c r="E266" s="7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>
      <c r="A267" s="7"/>
      <c r="B267" s="7"/>
      <c r="C267" s="7"/>
      <c r="D267" s="187"/>
      <c r="E267" s="7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>
      <c r="A268" s="7"/>
      <c r="B268" s="7"/>
      <c r="C268" s="7"/>
      <c r="D268" s="187"/>
      <c r="E268" s="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>
      <c r="A269" s="7"/>
      <c r="B269" s="7"/>
      <c r="C269" s="7"/>
      <c r="D269" s="187"/>
      <c r="E269" s="7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>
      <c r="A270" s="7"/>
      <c r="B270" s="7"/>
      <c r="C270" s="7"/>
      <c r="D270" s="187"/>
      <c r="E270" s="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>
      <c r="A271" s="7"/>
      <c r="B271" s="7"/>
      <c r="C271" s="7"/>
      <c r="D271" s="187"/>
      <c r="E271" s="7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>
      <c r="A272" s="7"/>
      <c r="B272" s="7"/>
      <c r="C272" s="7"/>
      <c r="D272" s="187"/>
      <c r="E272" s="7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>
      <c r="A273" s="7"/>
      <c r="B273" s="7"/>
      <c r="C273" s="7"/>
      <c r="D273" s="187"/>
      <c r="E273" s="7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>
      <c r="A274" s="7"/>
      <c r="B274" s="7"/>
      <c r="C274" s="7"/>
      <c r="D274" s="187"/>
      <c r="E274" s="7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>
      <c r="A275" s="7"/>
      <c r="B275" s="7"/>
      <c r="C275" s="7"/>
      <c r="D275" s="187"/>
      <c r="E275" s="7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>
      <c r="A276" s="7"/>
      <c r="B276" s="7"/>
      <c r="C276" s="7"/>
      <c r="D276" s="187"/>
      <c r="E276" s="7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>
      <c r="A277" s="7"/>
      <c r="B277" s="7"/>
      <c r="C277" s="7"/>
      <c r="D277" s="187"/>
      <c r="E277" s="7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>
      <c r="A278" s="7"/>
      <c r="B278" s="7"/>
      <c r="C278" s="7"/>
      <c r="D278" s="187"/>
      <c r="E278" s="7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>
      <c r="A279" s="7"/>
      <c r="B279" s="7"/>
      <c r="C279" s="7"/>
      <c r="D279" s="187"/>
      <c r="E279" s="7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>
      <c r="A280" s="7"/>
      <c r="B280" s="7"/>
      <c r="C280" s="7"/>
      <c r="D280" s="187"/>
      <c r="E280" s="7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>
      <c r="A281" s="48"/>
      <c r="B281" s="48"/>
      <c r="C281" s="48"/>
      <c r="D281" s="186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>
      <c r="A282" s="48"/>
      <c r="B282" s="48"/>
      <c r="C282" s="48"/>
      <c r="D282" s="186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>
      <c r="A283" s="48"/>
      <c r="B283" s="48"/>
      <c r="C283" s="48"/>
      <c r="D283" s="186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>
      <c r="A284" s="48"/>
      <c r="B284" s="48"/>
      <c r="C284" s="48"/>
      <c r="D284" s="186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>
      <c r="A285" s="48"/>
      <c r="B285" s="48"/>
      <c r="C285" s="48"/>
      <c r="D285" s="186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>
      <c r="A286" s="48"/>
      <c r="B286" s="48"/>
      <c r="C286" s="48"/>
      <c r="D286" s="186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>
      <c r="A287" s="48"/>
      <c r="B287" s="48"/>
      <c r="C287" s="48"/>
      <c r="D287" s="186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>
      <c r="A288" s="48"/>
      <c r="B288" s="48"/>
      <c r="C288" s="48"/>
      <c r="D288" s="186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>
      <c r="A289" s="48"/>
      <c r="B289" s="48"/>
      <c r="C289" s="48"/>
      <c r="D289" s="186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>
      <c r="A290" s="48"/>
      <c r="B290" s="48"/>
      <c r="C290" s="48"/>
      <c r="D290" s="186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>
      <c r="A291" s="48"/>
      <c r="B291" s="48"/>
      <c r="C291" s="48"/>
      <c r="D291" s="186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>
      <c r="A292" s="48"/>
      <c r="B292" s="48"/>
      <c r="C292" s="48"/>
      <c r="D292" s="186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>
      <c r="A293" s="48"/>
      <c r="B293" s="48"/>
      <c r="C293" s="48"/>
      <c r="D293" s="186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>
      <c r="A294" s="48"/>
      <c r="B294" s="48"/>
      <c r="C294" s="48"/>
      <c r="D294" s="186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>
      <c r="A295" s="48"/>
      <c r="B295" s="48"/>
      <c r="C295" s="48"/>
      <c r="D295" s="186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>
      <c r="A296" s="48"/>
      <c r="B296" s="48"/>
      <c r="C296" s="48"/>
      <c r="D296" s="186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>
      <c r="A297" s="48"/>
      <c r="B297" s="48"/>
      <c r="C297" s="48"/>
      <c r="D297" s="186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>
      <c r="A298" s="48"/>
      <c r="B298" s="48"/>
      <c r="C298" s="48"/>
      <c r="D298" s="186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>
      <c r="A299" s="48"/>
      <c r="B299" s="48"/>
      <c r="C299" s="48"/>
      <c r="D299" s="186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>
      <c r="A300" s="48"/>
      <c r="B300" s="48"/>
      <c r="C300" s="48"/>
      <c r="D300" s="186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>
      <c r="A301" s="48"/>
      <c r="B301" s="48"/>
      <c r="C301" s="48"/>
      <c r="D301" s="186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>
      <c r="A302" s="48"/>
      <c r="B302" s="48"/>
      <c r="C302" s="48"/>
      <c r="D302" s="186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>
      <c r="A303" s="48"/>
      <c r="B303" s="48"/>
      <c r="C303" s="48"/>
      <c r="D303" s="186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>
      <c r="A304" s="48"/>
      <c r="B304" s="48"/>
      <c r="C304" s="48"/>
      <c r="D304" s="186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>
      <c r="A305" s="48"/>
      <c r="B305" s="48"/>
      <c r="C305" s="48"/>
      <c r="D305" s="186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>
      <c r="A306" s="48"/>
      <c r="B306" s="48"/>
      <c r="C306" s="48"/>
      <c r="D306" s="186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>
      <c r="A307" s="48"/>
      <c r="B307" s="48"/>
      <c r="C307" s="48"/>
      <c r="D307" s="186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>
      <c r="A308" s="48"/>
      <c r="B308" s="48"/>
      <c r="C308" s="48"/>
      <c r="D308" s="186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>
      <c r="A309" s="48"/>
      <c r="B309" s="48"/>
      <c r="C309" s="48"/>
      <c r="D309" s="186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>
      <c r="A310" s="48"/>
      <c r="B310" s="48"/>
      <c r="C310" s="48"/>
      <c r="D310" s="186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>
      <c r="A311" s="48"/>
      <c r="B311" s="48"/>
      <c r="C311" s="48"/>
      <c r="D311" s="186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>
      <c r="A312" s="48"/>
      <c r="B312" s="48"/>
      <c r="C312" s="48"/>
      <c r="D312" s="186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>
      <c r="A313" s="48"/>
      <c r="B313" s="48"/>
      <c r="C313" s="48"/>
      <c r="D313" s="186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>
      <c r="A314" s="48"/>
      <c r="B314" s="48"/>
      <c r="C314" s="48"/>
      <c r="D314" s="186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>
      <c r="A315" s="48"/>
      <c r="B315" s="48"/>
      <c r="C315" s="48"/>
      <c r="D315" s="186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>
      <c r="A316" s="48"/>
      <c r="B316" s="48"/>
      <c r="C316" s="48"/>
      <c r="D316" s="186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>
      <c r="A317" s="48"/>
      <c r="B317" s="48"/>
      <c r="C317" s="48"/>
      <c r="D317" s="186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>
      <c r="A318" s="48"/>
      <c r="B318" s="48"/>
      <c r="C318" s="48"/>
      <c r="D318" s="186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>
      <c r="A319" s="48"/>
      <c r="B319" s="48"/>
      <c r="C319" s="48"/>
      <c r="D319" s="186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>
      <c r="A320" s="48"/>
      <c r="B320" s="48"/>
      <c r="C320" s="48"/>
      <c r="D320" s="186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>
      <c r="A321" s="48"/>
      <c r="B321" s="48"/>
      <c r="C321" s="48"/>
      <c r="D321" s="186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>
      <c r="A322" s="48"/>
      <c r="B322" s="48"/>
      <c r="C322" s="48"/>
      <c r="D322" s="186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>
      <c r="A323" s="48"/>
      <c r="B323" s="48"/>
      <c r="C323" s="48"/>
      <c r="D323" s="186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>
      <c r="A324" s="48"/>
      <c r="B324" s="48"/>
      <c r="C324" s="48"/>
      <c r="D324" s="186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>
      <c r="A325" s="48"/>
      <c r="B325" s="48"/>
      <c r="C325" s="48"/>
      <c r="D325" s="186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>
      <c r="A326" s="48"/>
      <c r="B326" s="48"/>
      <c r="C326" s="48"/>
      <c r="D326" s="186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>
      <c r="A327" s="48"/>
      <c r="B327" s="48"/>
      <c r="C327" s="48"/>
      <c r="D327" s="186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>
      <c r="A328" s="48"/>
      <c r="B328" s="48"/>
      <c r="C328" s="48"/>
      <c r="D328" s="186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>
      <c r="A329" s="48"/>
      <c r="B329" s="48"/>
      <c r="C329" s="48"/>
      <c r="D329" s="186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>
      <c r="A330" s="48"/>
      <c r="B330" s="48"/>
      <c r="C330" s="48"/>
      <c r="D330" s="186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>
      <c r="A331" s="48"/>
      <c r="B331" s="48"/>
      <c r="C331" s="48"/>
      <c r="D331" s="186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>
      <c r="A332" s="48"/>
      <c r="B332" s="48"/>
      <c r="C332" s="48"/>
      <c r="D332" s="186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>
      <c r="A333" s="48"/>
      <c r="B333" s="48"/>
      <c r="C333" s="48"/>
      <c r="D333" s="186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>
      <c r="A334" s="48"/>
      <c r="B334" s="48"/>
      <c r="C334" s="48"/>
      <c r="D334" s="186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>
      <c r="A335" s="48"/>
      <c r="B335" s="48"/>
      <c r="C335" s="48"/>
      <c r="D335" s="186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>
      <c r="A336" s="48"/>
      <c r="B336" s="48"/>
      <c r="C336" s="48"/>
      <c r="D336" s="186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>
      <c r="A337" s="48"/>
      <c r="B337" s="48"/>
      <c r="C337" s="48"/>
      <c r="D337" s="186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>
      <c r="A338" s="48"/>
      <c r="B338" s="48"/>
      <c r="C338" s="48"/>
      <c r="D338" s="186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>
      <c r="A339" s="48"/>
      <c r="B339" s="48"/>
      <c r="C339" s="48"/>
      <c r="D339" s="186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>
      <c r="A340" s="48"/>
      <c r="B340" s="48"/>
      <c r="C340" s="48"/>
      <c r="D340" s="186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>
      <c r="A341" s="48"/>
      <c r="B341" s="48"/>
      <c r="C341" s="48"/>
      <c r="D341" s="186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>
      <c r="A342" s="48"/>
      <c r="B342" s="48"/>
      <c r="C342" s="48"/>
      <c r="D342" s="186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>
      <c r="A343" s="48"/>
      <c r="B343" s="48"/>
      <c r="C343" s="48"/>
      <c r="D343" s="186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>
      <c r="A344" s="48"/>
      <c r="B344" s="48"/>
      <c r="C344" s="48"/>
      <c r="D344" s="186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>
      <c r="A345" s="48"/>
      <c r="B345" s="48"/>
      <c r="C345" s="48"/>
      <c r="D345" s="186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>
      <c r="A346" s="48"/>
      <c r="B346" s="48"/>
      <c r="C346" s="48"/>
      <c r="D346" s="186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>
      <c r="A347" s="48"/>
      <c r="B347" s="48"/>
      <c r="C347" s="48"/>
      <c r="D347" s="186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>
      <c r="A348" s="48"/>
      <c r="B348" s="48"/>
      <c r="C348" s="48"/>
      <c r="D348" s="186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>
      <c r="A349" s="48"/>
      <c r="B349" s="48"/>
      <c r="C349" s="48"/>
      <c r="D349" s="186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>
      <c r="A350" s="48"/>
      <c r="B350" s="48"/>
      <c r="C350" s="48"/>
      <c r="D350" s="186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>
      <c r="A351" s="48"/>
      <c r="B351" s="48"/>
      <c r="C351" s="48"/>
      <c r="D351" s="186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>
      <c r="A352" s="48"/>
      <c r="B352" s="48"/>
      <c r="C352" s="48"/>
      <c r="D352" s="186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>
      <c r="A353" s="48"/>
      <c r="B353" s="48"/>
      <c r="C353" s="48"/>
      <c r="D353" s="186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>
      <c r="A354" s="48"/>
      <c r="B354" s="48"/>
      <c r="C354" s="48"/>
      <c r="D354" s="186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>
      <c r="A355" s="48"/>
      <c r="B355" s="48"/>
      <c r="C355" s="48"/>
      <c r="D355" s="186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>
      <c r="A356" s="48"/>
      <c r="B356" s="48"/>
      <c r="C356" s="48"/>
      <c r="D356" s="186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>
      <c r="A357" s="48"/>
      <c r="B357" s="48"/>
      <c r="C357" s="48"/>
      <c r="D357" s="186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>
      <c r="A358" s="48"/>
      <c r="B358" s="48"/>
      <c r="C358" s="48"/>
      <c r="D358" s="186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>
      <c r="A359" s="48"/>
      <c r="B359" s="48"/>
      <c r="C359" s="48"/>
      <c r="D359" s="186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>
      <c r="A360" s="48"/>
      <c r="B360" s="48"/>
      <c r="C360" s="48"/>
      <c r="D360" s="186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>
      <c r="A361" s="48"/>
      <c r="B361" s="48"/>
      <c r="C361" s="48"/>
      <c r="D361" s="186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>
      <c r="A362" s="48"/>
      <c r="B362" s="48"/>
      <c r="C362" s="48"/>
      <c r="D362" s="186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>
      <c r="A363" s="48"/>
      <c r="B363" s="48"/>
      <c r="C363" s="48"/>
      <c r="D363" s="186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>
      <c r="A364" s="48"/>
      <c r="B364" s="48"/>
      <c r="C364" s="48"/>
      <c r="D364" s="186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>
      <c r="A365" s="48"/>
      <c r="B365" s="48"/>
      <c r="C365" s="48"/>
      <c r="D365" s="186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>
      <c r="A366" s="48"/>
      <c r="B366" s="48"/>
      <c r="C366" s="48"/>
      <c r="D366" s="186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>
      <c r="A367" s="48"/>
      <c r="B367" s="48"/>
      <c r="C367" s="48"/>
      <c r="D367" s="186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>
      <c r="A368" s="48"/>
      <c r="B368" s="48"/>
      <c r="C368" s="48"/>
      <c r="D368" s="186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>
      <c r="A369" s="48"/>
      <c r="B369" s="48"/>
      <c r="C369" s="48"/>
      <c r="D369" s="186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>
      <c r="A370" s="48"/>
      <c r="B370" s="48"/>
      <c r="C370" s="48"/>
      <c r="D370" s="186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>
      <c r="A371" s="48"/>
      <c r="B371" s="48"/>
      <c r="C371" s="48"/>
      <c r="D371" s="186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>
      <c r="A372" s="48"/>
      <c r="B372" s="48"/>
      <c r="C372" s="48"/>
      <c r="D372" s="186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>
      <c r="A373" s="48"/>
      <c r="B373" s="48"/>
      <c r="C373" s="48"/>
      <c r="D373" s="186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>
      <c r="A374" s="48"/>
      <c r="B374" s="48"/>
      <c r="C374" s="48"/>
      <c r="D374" s="186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>
      <c r="A375" s="48"/>
      <c r="B375" s="48"/>
      <c r="C375" s="48"/>
      <c r="D375" s="186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>
      <c r="A376" s="48"/>
      <c r="B376" s="48"/>
      <c r="C376" s="48"/>
      <c r="D376" s="186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>
      <c r="A377" s="48"/>
      <c r="B377" s="48"/>
      <c r="C377" s="48"/>
      <c r="D377" s="186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>
      <c r="A378" s="48"/>
      <c r="B378" s="48"/>
      <c r="C378" s="48"/>
      <c r="D378" s="186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>
      <c r="A379" s="48"/>
      <c r="B379" s="48"/>
      <c r="C379" s="48"/>
      <c r="D379" s="186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>
      <c r="A380" s="48"/>
      <c r="B380" s="48"/>
      <c r="C380" s="48"/>
      <c r="D380" s="186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>
      <c r="A381" s="48"/>
      <c r="B381" s="48"/>
      <c r="C381" s="48"/>
      <c r="D381" s="186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>
      <c r="A382" s="48"/>
      <c r="B382" s="48"/>
      <c r="C382" s="48"/>
      <c r="D382" s="186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>
      <c r="A383" s="48"/>
      <c r="B383" s="48"/>
      <c r="C383" s="48"/>
      <c r="D383" s="186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>
      <c r="A384" s="48"/>
      <c r="B384" s="48"/>
      <c r="C384" s="48"/>
      <c r="D384" s="186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>
      <c r="A385" s="48"/>
      <c r="B385" s="48"/>
      <c r="C385" s="48"/>
      <c r="D385" s="186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>
      <c r="A386" s="48"/>
      <c r="B386" s="48"/>
      <c r="C386" s="48"/>
      <c r="D386" s="186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>
      <c r="A387" s="48"/>
      <c r="B387" s="48"/>
      <c r="C387" s="48"/>
      <c r="D387" s="186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>
      <c r="A388" s="48"/>
      <c r="B388" s="48"/>
      <c r="C388" s="48"/>
      <c r="D388" s="186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>
      <c r="A389" s="48"/>
      <c r="B389" s="48"/>
      <c r="C389" s="48"/>
      <c r="D389" s="186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>
      <c r="A390" s="48"/>
      <c r="B390" s="48"/>
      <c r="C390" s="48"/>
      <c r="D390" s="186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>
      <c r="A391" s="48"/>
      <c r="B391" s="48"/>
      <c r="C391" s="48"/>
      <c r="D391" s="186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>
      <c r="A392" s="48"/>
      <c r="B392" s="48"/>
      <c r="C392" s="48"/>
      <c r="D392" s="186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>
      <c r="A393" s="48"/>
      <c r="B393" s="48"/>
      <c r="C393" s="48"/>
      <c r="D393" s="186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>
      <c r="A394" s="48"/>
      <c r="B394" s="48"/>
      <c r="C394" s="48"/>
      <c r="D394" s="186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>
      <c r="A395" s="48"/>
      <c r="B395" s="48"/>
      <c r="C395" s="48"/>
      <c r="D395" s="186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>
      <c r="A396" s="48"/>
      <c r="B396" s="48"/>
      <c r="C396" s="48"/>
      <c r="D396" s="186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>
      <c r="A397" s="48"/>
      <c r="B397" s="48"/>
      <c r="C397" s="48"/>
      <c r="D397" s="186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>
      <c r="A398" s="48"/>
      <c r="B398" s="48"/>
      <c r="C398" s="48"/>
      <c r="D398" s="186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>
      <c r="A399" s="48"/>
      <c r="B399" s="48"/>
      <c r="C399" s="48"/>
      <c r="D399" s="186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>
      <c r="A400" s="48"/>
      <c r="B400" s="48"/>
      <c r="C400" s="48"/>
      <c r="D400" s="186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>
      <c r="A401" s="48"/>
      <c r="B401" s="48"/>
      <c r="C401" s="48"/>
      <c r="D401" s="186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>
      <c r="A402" s="48"/>
      <c r="B402" s="48"/>
      <c r="C402" s="48"/>
      <c r="D402" s="186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>
      <c r="A403" s="48"/>
      <c r="B403" s="48"/>
      <c r="C403" s="48"/>
      <c r="D403" s="186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>
      <c r="A404" s="48"/>
      <c r="B404" s="48"/>
      <c r="C404" s="48"/>
      <c r="D404" s="186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>
      <c r="A405" s="48"/>
      <c r="B405" s="48"/>
      <c r="C405" s="48"/>
      <c r="D405" s="186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>
      <c r="A406" s="48"/>
      <c r="B406" s="48"/>
      <c r="C406" s="48"/>
      <c r="D406" s="186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>
      <c r="A407" s="48"/>
      <c r="B407" s="48"/>
      <c r="C407" s="48"/>
      <c r="D407" s="186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>
      <c r="A408" s="48"/>
      <c r="B408" s="48"/>
      <c r="C408" s="48"/>
      <c r="D408" s="186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>
      <c r="A409" s="48"/>
      <c r="B409" s="48"/>
      <c r="C409" s="48"/>
      <c r="D409" s="186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>
      <c r="A410" s="48"/>
      <c r="B410" s="48"/>
      <c r="C410" s="48"/>
      <c r="D410" s="186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>
      <c r="A411" s="48"/>
      <c r="B411" s="48"/>
      <c r="C411" s="48"/>
      <c r="D411" s="186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>
      <c r="A412" s="48"/>
      <c r="B412" s="48"/>
      <c r="C412" s="48"/>
      <c r="D412" s="186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>
      <c r="A413" s="48"/>
      <c r="B413" s="48"/>
      <c r="C413" s="48"/>
      <c r="D413" s="186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>
      <c r="A414" s="48"/>
      <c r="B414" s="48"/>
      <c r="C414" s="48"/>
      <c r="D414" s="186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>
      <c r="A415" s="48"/>
      <c r="B415" s="48"/>
      <c r="C415" s="48"/>
      <c r="D415" s="186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>
      <c r="A416" s="48"/>
      <c r="B416" s="48"/>
      <c r="C416" s="48"/>
      <c r="D416" s="186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>
      <c r="A417" s="48"/>
      <c r="B417" s="48"/>
      <c r="C417" s="48"/>
      <c r="D417" s="186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>
      <c r="A418" s="48"/>
      <c r="B418" s="48"/>
      <c r="C418" s="48"/>
      <c r="D418" s="186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>
      <c r="A419" s="48"/>
      <c r="B419" s="48"/>
      <c r="C419" s="48"/>
      <c r="D419" s="186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>
      <c r="A420" s="48"/>
      <c r="B420" s="48"/>
      <c r="C420" s="48"/>
      <c r="D420" s="186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>
      <c r="A421" s="48"/>
      <c r="B421" s="48"/>
      <c r="C421" s="48"/>
      <c r="D421" s="186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>
      <c r="A422" s="48"/>
      <c r="B422" s="48"/>
      <c r="C422" s="48"/>
      <c r="D422" s="186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>
      <c r="A423" s="48"/>
      <c r="B423" s="48"/>
      <c r="C423" s="48"/>
      <c r="D423" s="186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>
      <c r="A424" s="48"/>
      <c r="B424" s="48"/>
      <c r="C424" s="48"/>
      <c r="D424" s="186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>
      <c r="A425" s="48"/>
      <c r="B425" s="48"/>
      <c r="C425" s="48"/>
      <c r="D425" s="186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>
      <c r="A426" s="48"/>
      <c r="B426" s="48"/>
      <c r="C426" s="48"/>
      <c r="D426" s="186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>
      <c r="A427" s="48"/>
      <c r="B427" s="48"/>
      <c r="C427" s="48"/>
      <c r="D427" s="186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>
      <c r="A428" s="48"/>
      <c r="B428" s="48"/>
      <c r="C428" s="48"/>
      <c r="D428" s="186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>
      <c r="A429" s="48"/>
      <c r="B429" s="48"/>
      <c r="C429" s="48"/>
      <c r="D429" s="186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>
      <c r="A430" s="48"/>
      <c r="B430" s="48"/>
      <c r="C430" s="48"/>
      <c r="D430" s="186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>
      <c r="A431" s="48"/>
      <c r="B431" s="48"/>
      <c r="C431" s="48"/>
      <c r="D431" s="186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>
      <c r="A432" s="48"/>
      <c r="B432" s="48"/>
      <c r="C432" s="48"/>
      <c r="D432" s="186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>
      <c r="A433" s="48"/>
      <c r="B433" s="48"/>
      <c r="C433" s="48"/>
      <c r="D433" s="186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>
      <c r="A434" s="48"/>
      <c r="B434" s="48"/>
      <c r="C434" s="48"/>
      <c r="D434" s="186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>
      <c r="A435" s="48"/>
      <c r="B435" s="48"/>
      <c r="C435" s="48"/>
      <c r="D435" s="186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>
      <c r="A436" s="48"/>
      <c r="B436" s="48"/>
      <c r="C436" s="48"/>
      <c r="D436" s="186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>
      <c r="A437" s="48"/>
      <c r="B437" s="48"/>
      <c r="C437" s="48"/>
      <c r="D437" s="186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>
      <c r="A438" s="48"/>
      <c r="B438" s="48"/>
      <c r="C438" s="48"/>
      <c r="D438" s="186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>
      <c r="A439" s="48"/>
      <c r="B439" s="48"/>
      <c r="C439" s="48"/>
      <c r="D439" s="186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>
      <c r="A440" s="48"/>
      <c r="B440" s="48"/>
      <c r="C440" s="48"/>
      <c r="D440" s="186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>
      <c r="A441" s="48"/>
      <c r="B441" s="48"/>
      <c r="C441" s="48"/>
      <c r="D441" s="186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>
      <c r="A442" s="48"/>
      <c r="B442" s="48"/>
      <c r="C442" s="48"/>
      <c r="D442" s="186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>
      <c r="A443" s="48"/>
      <c r="B443" s="48"/>
      <c r="C443" s="48"/>
      <c r="D443" s="186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>
      <c r="A444" s="48"/>
      <c r="B444" s="48"/>
      <c r="C444" s="48"/>
      <c r="D444" s="186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>
      <c r="A445" s="48"/>
      <c r="B445" s="48"/>
      <c r="C445" s="48"/>
      <c r="D445" s="186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>
      <c r="A446" s="48"/>
      <c r="B446" s="48"/>
      <c r="C446" s="48"/>
      <c r="D446" s="186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>
      <c r="A447" s="48"/>
      <c r="B447" s="48"/>
      <c r="C447" s="48"/>
      <c r="D447" s="186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>
      <c r="A448" s="48"/>
      <c r="B448" s="48"/>
      <c r="C448" s="48"/>
      <c r="D448" s="186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>
      <c r="A449" s="48"/>
      <c r="B449" s="48"/>
      <c r="C449" s="48"/>
      <c r="D449" s="186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>
      <c r="A450" s="48"/>
      <c r="B450" s="48"/>
      <c r="C450" s="48"/>
      <c r="D450" s="186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>
      <c r="A451" s="48"/>
      <c r="B451" s="48"/>
      <c r="C451" s="48"/>
      <c r="D451" s="186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>
      <c r="A452" s="48"/>
      <c r="B452" s="48"/>
      <c r="C452" s="48"/>
      <c r="D452" s="186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>
      <c r="A453" s="48"/>
      <c r="B453" s="48"/>
      <c r="C453" s="48"/>
      <c r="D453" s="186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>
      <c r="A454" s="48"/>
      <c r="B454" s="48"/>
      <c r="C454" s="48"/>
      <c r="D454" s="186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>
      <c r="A455" s="48"/>
      <c r="B455" s="48"/>
      <c r="C455" s="48"/>
      <c r="D455" s="186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>
      <c r="A456" s="48"/>
      <c r="B456" s="48"/>
      <c r="C456" s="48"/>
      <c r="D456" s="186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>
      <c r="A457" s="48"/>
      <c r="B457" s="48"/>
      <c r="C457" s="48"/>
      <c r="D457" s="186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>
      <c r="A458" s="48"/>
      <c r="B458" s="48"/>
      <c r="C458" s="48"/>
      <c r="D458" s="186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>
      <c r="A459" s="48"/>
      <c r="B459" s="48"/>
      <c r="C459" s="48"/>
      <c r="D459" s="186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>
      <c r="A460" s="48"/>
      <c r="B460" s="48"/>
      <c r="C460" s="48"/>
      <c r="D460" s="186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>
      <c r="A461" s="48"/>
      <c r="B461" s="48"/>
      <c r="C461" s="48"/>
      <c r="D461" s="186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>
      <c r="A462" s="48"/>
      <c r="B462" s="48"/>
      <c r="C462" s="48"/>
      <c r="D462" s="186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>
      <c r="A463" s="48"/>
      <c r="B463" s="48"/>
      <c r="C463" s="48"/>
      <c r="D463" s="186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>
      <c r="A464" s="48"/>
      <c r="B464" s="48"/>
      <c r="C464" s="48"/>
      <c r="D464" s="186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>
      <c r="A465" s="48"/>
      <c r="B465" s="48"/>
      <c r="C465" s="48"/>
      <c r="D465" s="186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>
      <c r="A466" s="48"/>
      <c r="B466" s="48"/>
      <c r="C466" s="48"/>
      <c r="D466" s="186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>
      <c r="A467" s="48"/>
      <c r="B467" s="48"/>
      <c r="C467" s="48"/>
      <c r="D467" s="186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>
      <c r="A468" s="48"/>
      <c r="B468" s="48"/>
      <c r="C468" s="48"/>
      <c r="D468" s="186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>
      <c r="A469" s="48"/>
      <c r="B469" s="48"/>
      <c r="C469" s="48"/>
      <c r="D469" s="186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>
      <c r="A470" s="48"/>
      <c r="B470" s="48"/>
      <c r="C470" s="48"/>
      <c r="D470" s="186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>
      <c r="A471" s="48"/>
      <c r="B471" s="48"/>
      <c r="C471" s="48"/>
      <c r="D471" s="186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>
      <c r="A472" s="48"/>
      <c r="B472" s="48"/>
      <c r="C472" s="48"/>
      <c r="D472" s="186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>
      <c r="A473" s="48"/>
      <c r="B473" s="48"/>
      <c r="C473" s="48"/>
      <c r="D473" s="186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>
      <c r="A474" s="48"/>
      <c r="B474" s="48"/>
      <c r="C474" s="48"/>
      <c r="D474" s="186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>
      <c r="A475" s="48"/>
      <c r="B475" s="48"/>
      <c r="C475" s="48"/>
      <c r="D475" s="186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>
      <c r="A476" s="48"/>
      <c r="B476" s="48"/>
      <c r="C476" s="48"/>
      <c r="D476" s="186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>
      <c r="A477" s="48"/>
      <c r="B477" s="48"/>
      <c r="C477" s="48"/>
      <c r="D477" s="186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>
      <c r="A478" s="48"/>
      <c r="B478" s="48"/>
      <c r="C478" s="48"/>
      <c r="D478" s="186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>
      <c r="A479" s="48"/>
      <c r="B479" s="48"/>
      <c r="C479" s="48"/>
      <c r="D479" s="186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>
      <c r="A480" s="48"/>
      <c r="B480" s="48"/>
      <c r="C480" s="48"/>
      <c r="D480" s="186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>
      <c r="A481" s="48"/>
      <c r="B481" s="48"/>
      <c r="C481" s="48"/>
      <c r="D481" s="186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>
      <c r="A482" s="48"/>
      <c r="B482" s="48"/>
      <c r="C482" s="48"/>
      <c r="D482" s="186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>
      <c r="A483" s="48"/>
      <c r="B483" s="48"/>
      <c r="C483" s="48"/>
      <c r="D483" s="186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>
      <c r="A484" s="48"/>
      <c r="B484" s="48"/>
      <c r="C484" s="48"/>
      <c r="D484" s="186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>
      <c r="A485" s="48"/>
      <c r="B485" s="48"/>
      <c r="C485" s="48"/>
      <c r="D485" s="186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>
      <c r="A486" s="48"/>
      <c r="B486" s="48"/>
      <c r="C486" s="48"/>
      <c r="D486" s="186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>
      <c r="A487" s="48"/>
      <c r="B487" s="48"/>
      <c r="C487" s="48"/>
      <c r="D487" s="186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>
      <c r="A488" s="48"/>
      <c r="B488" s="48"/>
      <c r="C488" s="48"/>
      <c r="D488" s="186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>
      <c r="A489" s="48"/>
      <c r="B489" s="48"/>
      <c r="C489" s="48"/>
      <c r="D489" s="186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>
      <c r="A490" s="48"/>
      <c r="B490" s="48"/>
      <c r="C490" s="48"/>
      <c r="D490" s="186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>
      <c r="A491" s="48"/>
      <c r="B491" s="48"/>
      <c r="C491" s="48"/>
      <c r="D491" s="186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>
      <c r="A492" s="48"/>
      <c r="B492" s="48"/>
      <c r="C492" s="48"/>
      <c r="D492" s="186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>
      <c r="A493" s="48"/>
      <c r="B493" s="48"/>
      <c r="C493" s="48"/>
      <c r="D493" s="186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>
      <c r="A494" s="48"/>
      <c r="B494" s="48"/>
      <c r="C494" s="48"/>
      <c r="D494" s="186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>
      <c r="A495" s="48"/>
      <c r="B495" s="48"/>
      <c r="C495" s="48"/>
      <c r="D495" s="186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>
      <c r="A496" s="48"/>
      <c r="B496" s="48"/>
      <c r="C496" s="48"/>
      <c r="D496" s="186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>
      <c r="A497" s="48"/>
      <c r="B497" s="48"/>
      <c r="C497" s="48"/>
      <c r="D497" s="186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>
      <c r="A498" s="48"/>
      <c r="B498" s="48"/>
      <c r="C498" s="48"/>
      <c r="D498" s="186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>
      <c r="A499" s="48"/>
      <c r="B499" s="48"/>
      <c r="C499" s="48"/>
      <c r="D499" s="186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>
      <c r="A500" s="48"/>
      <c r="B500" s="48"/>
      <c r="C500" s="48"/>
      <c r="D500" s="186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>
      <c r="A501" s="48"/>
      <c r="B501" s="48"/>
      <c r="C501" s="48"/>
      <c r="D501" s="186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>
      <c r="A502" s="48"/>
      <c r="B502" s="48"/>
      <c r="C502" s="48"/>
      <c r="D502" s="186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>
      <c r="A503" s="48"/>
      <c r="B503" s="48"/>
      <c r="C503" s="48"/>
      <c r="D503" s="186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>
      <c r="A504" s="48"/>
      <c r="B504" s="48"/>
      <c r="C504" s="48"/>
      <c r="D504" s="186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>
      <c r="A505" s="48"/>
      <c r="B505" s="48"/>
      <c r="C505" s="48"/>
      <c r="D505" s="186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>
      <c r="A506" s="48"/>
      <c r="B506" s="48"/>
      <c r="C506" s="48"/>
      <c r="D506" s="186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>
      <c r="A507" s="48"/>
      <c r="B507" s="48"/>
      <c r="C507" s="48"/>
      <c r="D507" s="186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>
      <c r="A508" s="48"/>
      <c r="B508" s="48"/>
      <c r="C508" s="48"/>
      <c r="D508" s="186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>
      <c r="A509" s="48"/>
      <c r="B509" s="48"/>
      <c r="C509" s="48"/>
      <c r="D509" s="186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>
      <c r="A510" s="48"/>
      <c r="B510" s="48"/>
      <c r="C510" s="48"/>
      <c r="D510" s="186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>
      <c r="A511" s="48"/>
      <c r="B511" s="48"/>
      <c r="C511" s="48"/>
      <c r="D511" s="186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>
      <c r="A512" s="48"/>
      <c r="B512" s="48"/>
      <c r="C512" s="48"/>
      <c r="D512" s="186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>
      <c r="A513" s="48"/>
      <c r="B513" s="48"/>
      <c r="C513" s="48"/>
      <c r="D513" s="186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>
      <c r="A514" s="48"/>
      <c r="B514" s="48"/>
      <c r="C514" s="48"/>
      <c r="D514" s="186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>
      <c r="A515" s="48"/>
      <c r="B515" s="48"/>
      <c r="C515" s="48"/>
      <c r="D515" s="186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>
      <c r="A516" s="48"/>
      <c r="B516" s="48"/>
      <c r="C516" s="48"/>
      <c r="D516" s="186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>
      <c r="A517" s="48"/>
      <c r="B517" s="48"/>
      <c r="C517" s="48"/>
      <c r="D517" s="186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>
      <c r="A518" s="48"/>
      <c r="B518" s="48"/>
      <c r="C518" s="48"/>
      <c r="D518" s="186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>
      <c r="A519" s="48"/>
      <c r="B519" s="48"/>
      <c r="C519" s="48"/>
      <c r="D519" s="186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>
      <c r="A520" s="48"/>
      <c r="B520" s="48"/>
      <c r="C520" s="48"/>
      <c r="D520" s="186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>
      <c r="A521" s="48"/>
      <c r="B521" s="48"/>
      <c r="C521" s="48"/>
      <c r="D521" s="186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>
      <c r="A522" s="48"/>
      <c r="B522" s="48"/>
      <c r="C522" s="48"/>
      <c r="D522" s="186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>
      <c r="A523" s="48"/>
      <c r="B523" s="48"/>
      <c r="C523" s="48"/>
      <c r="D523" s="186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>
      <c r="A524" s="48"/>
      <c r="B524" s="48"/>
      <c r="C524" s="48"/>
      <c r="D524" s="186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>
      <c r="A525" s="48"/>
      <c r="B525" s="48"/>
      <c r="C525" s="48"/>
      <c r="D525" s="186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>
      <c r="A526" s="48"/>
      <c r="B526" s="48"/>
      <c r="C526" s="48"/>
      <c r="D526" s="186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>
      <c r="A527" s="48"/>
      <c r="B527" s="48"/>
      <c r="C527" s="48"/>
      <c r="D527" s="186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>
      <c r="A528" s="48"/>
      <c r="B528" s="48"/>
      <c r="C528" s="48"/>
      <c r="D528" s="186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>
      <c r="A529" s="48"/>
      <c r="B529" s="48"/>
      <c r="C529" s="48"/>
      <c r="D529" s="186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>
      <c r="A530" s="48"/>
      <c r="B530" s="48"/>
      <c r="C530" s="48"/>
      <c r="D530" s="186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>
      <c r="A531" s="48"/>
      <c r="B531" s="48"/>
      <c r="C531" s="48"/>
      <c r="D531" s="186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>
      <c r="A532" s="48"/>
      <c r="B532" s="48"/>
      <c r="C532" s="48"/>
      <c r="D532" s="186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>
      <c r="A533" s="48"/>
      <c r="B533" s="48"/>
      <c r="C533" s="48"/>
      <c r="D533" s="186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>
      <c r="A534" s="48"/>
      <c r="B534" s="48"/>
      <c r="C534" s="48"/>
      <c r="D534" s="186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>
      <c r="A535" s="48"/>
      <c r="B535" s="48"/>
      <c r="C535" s="48"/>
      <c r="D535" s="186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>
      <c r="A536" s="48"/>
      <c r="B536" s="48"/>
      <c r="C536" s="48"/>
      <c r="D536" s="186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>
      <c r="A537" s="48"/>
      <c r="B537" s="48"/>
      <c r="C537" s="48"/>
      <c r="D537" s="186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>
      <c r="A538" s="48"/>
      <c r="B538" s="48"/>
      <c r="C538" s="48"/>
      <c r="D538" s="186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>
      <c r="A539" s="48"/>
      <c r="B539" s="48"/>
      <c r="C539" s="48"/>
      <c r="D539" s="186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>
      <c r="A540" s="48"/>
      <c r="B540" s="48"/>
      <c r="C540" s="48"/>
      <c r="D540" s="186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>
      <c r="A541" s="48"/>
      <c r="B541" s="48"/>
      <c r="C541" s="48"/>
      <c r="D541" s="186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>
      <c r="A542" s="48"/>
      <c r="B542" s="48"/>
      <c r="C542" s="48"/>
      <c r="D542" s="186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>
      <c r="A543" s="48"/>
      <c r="B543" s="48"/>
      <c r="C543" s="48"/>
      <c r="D543" s="186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>
      <c r="A544" s="48"/>
      <c r="B544" s="48"/>
      <c r="C544" s="48"/>
      <c r="D544" s="186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>
      <c r="A545" s="48"/>
      <c r="B545" s="48"/>
      <c r="C545" s="48"/>
      <c r="D545" s="186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>
      <c r="A546" s="48"/>
      <c r="B546" s="48"/>
      <c r="C546" s="48"/>
      <c r="D546" s="186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>
      <c r="A547" s="48"/>
      <c r="B547" s="48"/>
      <c r="C547" s="48"/>
      <c r="D547" s="186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>
      <c r="A548" s="48"/>
      <c r="B548" s="48"/>
      <c r="C548" s="48"/>
      <c r="D548" s="186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>
      <c r="A549" s="48"/>
      <c r="B549" s="48"/>
      <c r="C549" s="48"/>
      <c r="D549" s="186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>
      <c r="A550" s="48"/>
      <c r="B550" s="48"/>
      <c r="C550" s="48"/>
      <c r="D550" s="186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>
      <c r="A551" s="48"/>
      <c r="B551" s="48"/>
      <c r="C551" s="48"/>
      <c r="D551" s="186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>
      <c r="A552" s="48"/>
      <c r="B552" s="48"/>
      <c r="C552" s="48"/>
      <c r="D552" s="186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>
      <c r="A553" s="48"/>
      <c r="B553" s="48"/>
      <c r="C553" s="48"/>
      <c r="D553" s="186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>
      <c r="A554" s="48"/>
      <c r="B554" s="48"/>
      <c r="C554" s="48"/>
      <c r="D554" s="186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>
      <c r="A555" s="48"/>
      <c r="B555" s="48"/>
      <c r="C555" s="48"/>
      <c r="D555" s="186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>
      <c r="A556" s="48"/>
      <c r="B556" s="48"/>
      <c r="C556" s="48"/>
      <c r="D556" s="186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>
      <c r="A557" s="48"/>
      <c r="B557" s="48"/>
      <c r="C557" s="48"/>
      <c r="D557" s="186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>
      <c r="A558" s="48"/>
      <c r="B558" s="48"/>
      <c r="C558" s="48"/>
      <c r="D558" s="186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>
      <c r="A559" s="48"/>
      <c r="B559" s="48"/>
      <c r="C559" s="48"/>
      <c r="D559" s="186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>
      <c r="A560" s="48"/>
      <c r="B560" s="48"/>
      <c r="C560" s="48"/>
      <c r="D560" s="186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>
      <c r="A561" s="48"/>
      <c r="B561" s="48"/>
      <c r="C561" s="48"/>
      <c r="D561" s="186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>
      <c r="A562" s="48"/>
      <c r="B562" s="48"/>
      <c r="C562" s="48"/>
      <c r="D562" s="186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>
      <c r="A563" s="48"/>
      <c r="B563" s="48"/>
      <c r="C563" s="48"/>
      <c r="D563" s="186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>
      <c r="A564" s="48"/>
      <c r="B564" s="48"/>
      <c r="C564" s="48"/>
      <c r="D564" s="186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>
      <c r="A565" s="48"/>
      <c r="B565" s="48"/>
      <c r="C565" s="48"/>
      <c r="D565" s="186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>
      <c r="A566" s="48"/>
      <c r="B566" s="48"/>
      <c r="C566" s="48"/>
      <c r="D566" s="186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>
      <c r="A567" s="48"/>
      <c r="B567" s="48"/>
      <c r="C567" s="48"/>
      <c r="D567" s="186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>
      <c r="A568" s="48"/>
      <c r="B568" s="48"/>
      <c r="C568" s="48"/>
      <c r="D568" s="186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>
      <c r="A569" s="48"/>
      <c r="B569" s="48"/>
      <c r="C569" s="48"/>
      <c r="D569" s="186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>
      <c r="A570" s="48"/>
      <c r="B570" s="48"/>
      <c r="C570" s="48"/>
      <c r="D570" s="186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>
      <c r="A571" s="48"/>
      <c r="B571" s="48"/>
      <c r="C571" s="48"/>
      <c r="D571" s="186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>
      <c r="A572" s="48"/>
      <c r="B572" s="48"/>
      <c r="C572" s="48"/>
      <c r="D572" s="186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>
      <c r="A573" s="48"/>
      <c r="B573" s="48"/>
      <c r="C573" s="48"/>
      <c r="D573" s="186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>
      <c r="A574" s="48"/>
      <c r="B574" s="48"/>
      <c r="C574" s="48"/>
      <c r="D574" s="186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>
      <c r="A575" s="48"/>
      <c r="B575" s="48"/>
      <c r="C575" s="48"/>
      <c r="D575" s="186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>
      <c r="A576" s="48"/>
      <c r="B576" s="48"/>
      <c r="C576" s="48"/>
      <c r="D576" s="186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>
      <c r="A577" s="48"/>
      <c r="B577" s="48"/>
      <c r="C577" s="48"/>
      <c r="D577" s="186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>
      <c r="A578" s="48"/>
      <c r="B578" s="48"/>
      <c r="C578" s="48"/>
      <c r="D578" s="186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>
      <c r="A579" s="48"/>
      <c r="B579" s="48"/>
      <c r="C579" s="48"/>
      <c r="D579" s="186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>
      <c r="A580" s="48"/>
      <c r="B580" s="48"/>
      <c r="C580" s="48"/>
      <c r="D580" s="186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>
      <c r="A581" s="48"/>
      <c r="B581" s="48"/>
      <c r="C581" s="48"/>
      <c r="D581" s="186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>
      <c r="A582" s="48"/>
      <c r="B582" s="48"/>
      <c r="C582" s="48"/>
      <c r="D582" s="186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>
      <c r="A583" s="48"/>
      <c r="B583" s="48"/>
      <c r="C583" s="48"/>
      <c r="D583" s="186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>
      <c r="A584" s="48"/>
      <c r="B584" s="48"/>
      <c r="C584" s="48"/>
      <c r="D584" s="186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>
      <c r="A585" s="48"/>
      <c r="B585" s="48"/>
      <c r="C585" s="48"/>
      <c r="D585" s="186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>
      <c r="A586" s="48"/>
      <c r="B586" s="48"/>
      <c r="C586" s="48"/>
      <c r="D586" s="186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>
      <c r="A587" s="48"/>
      <c r="B587" s="48"/>
      <c r="C587" s="48"/>
      <c r="D587" s="186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>
      <c r="A588" s="48"/>
      <c r="B588" s="48"/>
      <c r="C588" s="48"/>
      <c r="D588" s="186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>
      <c r="A589" s="48"/>
      <c r="B589" s="48"/>
      <c r="C589" s="48"/>
      <c r="D589" s="186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>
      <c r="A590" s="48"/>
      <c r="B590" s="48"/>
      <c r="C590" s="48"/>
      <c r="D590" s="186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>
      <c r="A591" s="48"/>
      <c r="B591" s="48"/>
      <c r="C591" s="48"/>
      <c r="D591" s="186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>
      <c r="A592" s="48"/>
      <c r="B592" s="48"/>
      <c r="C592" s="48"/>
      <c r="D592" s="186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>
      <c r="A593" s="48"/>
      <c r="B593" s="48"/>
      <c r="C593" s="48"/>
      <c r="D593" s="186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>
      <c r="A594" s="48"/>
      <c r="B594" s="48"/>
      <c r="C594" s="48"/>
      <c r="D594" s="186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>
      <c r="A595" s="48"/>
      <c r="B595" s="48"/>
      <c r="C595" s="48"/>
      <c r="D595" s="186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>
      <c r="A596" s="48"/>
      <c r="B596" s="48"/>
      <c r="C596" s="48"/>
      <c r="D596" s="186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>
      <c r="A597" s="48"/>
      <c r="B597" s="48"/>
      <c r="C597" s="48"/>
      <c r="D597" s="186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>
      <c r="A598" s="48"/>
      <c r="B598" s="48"/>
      <c r="C598" s="48"/>
      <c r="D598" s="186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>
      <c r="A599" s="48"/>
      <c r="B599" s="48"/>
      <c r="C599" s="48"/>
      <c r="D599" s="186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>
      <c r="A600" s="48"/>
      <c r="B600" s="48"/>
      <c r="C600" s="48"/>
      <c r="D600" s="186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>
      <c r="A601" s="48"/>
      <c r="B601" s="48"/>
      <c r="C601" s="48"/>
      <c r="D601" s="186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>
      <c r="A602" s="48"/>
      <c r="B602" s="48"/>
      <c r="C602" s="48"/>
      <c r="D602" s="186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>
      <c r="A603" s="48"/>
      <c r="B603" s="48"/>
      <c r="C603" s="48"/>
      <c r="D603" s="186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>
      <c r="A604" s="48"/>
      <c r="B604" s="48"/>
      <c r="C604" s="48"/>
      <c r="D604" s="186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>
      <c r="A605" s="48"/>
      <c r="B605" s="48"/>
      <c r="C605" s="48"/>
      <c r="D605" s="186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>
      <c r="A606" s="48"/>
      <c r="B606" s="48"/>
      <c r="C606" s="48"/>
      <c r="D606" s="186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>
      <c r="A607" s="48"/>
      <c r="B607" s="48"/>
      <c r="C607" s="48"/>
      <c r="D607" s="186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>
      <c r="A608" s="48"/>
      <c r="B608" s="48"/>
      <c r="C608" s="48"/>
      <c r="D608" s="186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>
      <c r="A609" s="48"/>
      <c r="B609" s="48"/>
      <c r="C609" s="48"/>
      <c r="D609" s="186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>
      <c r="A610" s="48"/>
      <c r="B610" s="48"/>
      <c r="C610" s="48"/>
      <c r="D610" s="186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>
      <c r="A611" s="48"/>
      <c r="B611" s="48"/>
      <c r="C611" s="48"/>
      <c r="D611" s="186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>
      <c r="A612" s="48"/>
      <c r="B612" s="48"/>
      <c r="C612" s="48"/>
      <c r="D612" s="186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>
      <c r="A613" s="48"/>
      <c r="B613" s="48"/>
      <c r="C613" s="48"/>
      <c r="D613" s="186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>
      <c r="A614" s="48"/>
      <c r="B614" s="48"/>
      <c r="C614" s="48"/>
      <c r="D614" s="186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>
      <c r="A615" s="48"/>
      <c r="B615" s="48"/>
      <c r="C615" s="48"/>
      <c r="D615" s="186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>
      <c r="A616" s="48"/>
      <c r="B616" s="48"/>
      <c r="C616" s="48"/>
      <c r="D616" s="186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>
      <c r="A617" s="48"/>
      <c r="B617" s="48"/>
      <c r="C617" s="48"/>
      <c r="D617" s="186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>
      <c r="A618" s="48"/>
      <c r="B618" s="48"/>
      <c r="C618" s="48"/>
      <c r="D618" s="186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>
      <c r="A619" s="48"/>
      <c r="B619" s="48"/>
      <c r="C619" s="48"/>
      <c r="D619" s="186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>
      <c r="A620" s="48"/>
      <c r="B620" s="48"/>
      <c r="C620" s="48"/>
      <c r="D620" s="186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>
      <c r="A621" s="48"/>
      <c r="B621" s="48"/>
      <c r="C621" s="48"/>
      <c r="D621" s="186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>
      <c r="A622" s="48"/>
      <c r="B622" s="48"/>
      <c r="C622" s="48"/>
      <c r="D622" s="186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>
      <c r="A623" s="48"/>
      <c r="B623" s="48"/>
      <c r="C623" s="48"/>
      <c r="D623" s="186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>
      <c r="A624" s="48"/>
      <c r="B624" s="48"/>
      <c r="C624" s="48"/>
      <c r="D624" s="186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>
      <c r="A625" s="48"/>
      <c r="B625" s="48"/>
      <c r="C625" s="48"/>
      <c r="D625" s="186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>
      <c r="A626" s="48"/>
      <c r="B626" s="48"/>
      <c r="C626" s="48"/>
      <c r="D626" s="186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>
      <c r="A627" s="48"/>
      <c r="B627" s="48"/>
      <c r="C627" s="48"/>
      <c r="D627" s="186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>
      <c r="A628" s="48"/>
      <c r="B628" s="48"/>
      <c r="C628" s="48"/>
      <c r="D628" s="186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>
      <c r="A629" s="48"/>
      <c r="B629" s="48"/>
      <c r="C629" s="48"/>
      <c r="D629" s="186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>
      <c r="A630" s="48"/>
      <c r="B630" s="48"/>
      <c r="C630" s="48"/>
      <c r="D630" s="186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>
      <c r="A631" s="48"/>
      <c r="B631" s="48"/>
      <c r="C631" s="48"/>
      <c r="D631" s="186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>
      <c r="A632" s="48"/>
      <c r="B632" s="48"/>
      <c r="C632" s="48"/>
      <c r="D632" s="186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>
      <c r="A633" s="48"/>
      <c r="B633" s="48"/>
      <c r="C633" s="48"/>
      <c r="D633" s="186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>
      <c r="A634" s="48"/>
      <c r="B634" s="48"/>
      <c r="C634" s="48"/>
      <c r="D634" s="186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>
      <c r="A635" s="48"/>
      <c r="B635" s="48"/>
      <c r="C635" s="48"/>
      <c r="D635" s="186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>
      <c r="A636" s="48"/>
      <c r="B636" s="48"/>
      <c r="C636" s="48"/>
      <c r="D636" s="186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>
      <c r="A637" s="48"/>
      <c r="B637" s="48"/>
      <c r="C637" s="48"/>
      <c r="D637" s="186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>
      <c r="A638" s="48"/>
      <c r="B638" s="48"/>
      <c r="C638" s="48"/>
      <c r="D638" s="186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>
      <c r="A639" s="48"/>
      <c r="B639" s="48"/>
      <c r="C639" s="48"/>
      <c r="D639" s="186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>
      <c r="A640" s="48"/>
      <c r="B640" s="48"/>
      <c r="C640" s="48"/>
      <c r="D640" s="186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>
      <c r="A641" s="48"/>
      <c r="B641" s="48"/>
      <c r="C641" s="48"/>
      <c r="D641" s="186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>
      <c r="A642" s="48"/>
      <c r="B642" s="48"/>
      <c r="C642" s="48"/>
      <c r="D642" s="186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>
      <c r="A643" s="48"/>
      <c r="B643" s="48"/>
      <c r="C643" s="48"/>
      <c r="D643" s="186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>
      <c r="A644" s="48"/>
      <c r="B644" s="48"/>
      <c r="C644" s="48"/>
      <c r="D644" s="186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>
      <c r="A645" s="48"/>
      <c r="B645" s="48"/>
      <c r="C645" s="48"/>
      <c r="D645" s="186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>
      <c r="A646" s="48"/>
      <c r="B646" s="48"/>
      <c r="C646" s="48"/>
      <c r="D646" s="186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>
      <c r="A647" s="48"/>
      <c r="B647" s="48"/>
      <c r="C647" s="48"/>
      <c r="D647" s="186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>
      <c r="A648" s="48"/>
      <c r="B648" s="48"/>
      <c r="C648" s="48"/>
      <c r="D648" s="186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>
      <c r="A649" s="48"/>
      <c r="B649" s="48"/>
      <c r="C649" s="48"/>
      <c r="D649" s="186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>
      <c r="A650" s="48"/>
      <c r="B650" s="48"/>
      <c r="C650" s="48"/>
      <c r="D650" s="186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>
      <c r="A651" s="48"/>
      <c r="B651" s="48"/>
      <c r="C651" s="48"/>
      <c r="D651" s="186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>
      <c r="A652" s="48"/>
      <c r="B652" s="48"/>
      <c r="C652" s="48"/>
      <c r="D652" s="186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>
      <c r="A653" s="48"/>
      <c r="B653" s="48"/>
      <c r="C653" s="48"/>
      <c r="D653" s="186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>
      <c r="A654" s="48"/>
      <c r="B654" s="48"/>
      <c r="C654" s="48"/>
      <c r="D654" s="186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>
      <c r="A655" s="48"/>
      <c r="B655" s="48"/>
      <c r="C655" s="48"/>
      <c r="D655" s="186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>
      <c r="A656" s="48"/>
      <c r="B656" s="48"/>
      <c r="C656" s="48"/>
      <c r="D656" s="186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>
      <c r="A657" s="48"/>
      <c r="B657" s="48"/>
      <c r="C657" s="48"/>
      <c r="D657" s="186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>
      <c r="A658" s="48"/>
      <c r="B658" s="48"/>
      <c r="C658" s="48"/>
      <c r="D658" s="186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>
      <c r="A659" s="48"/>
      <c r="B659" s="48"/>
      <c r="C659" s="48"/>
      <c r="D659" s="186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>
      <c r="A660" s="48"/>
      <c r="B660" s="48"/>
      <c r="C660" s="48"/>
      <c r="D660" s="186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>
      <c r="A661" s="48"/>
      <c r="B661" s="48"/>
      <c r="C661" s="48"/>
      <c r="D661" s="186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>
      <c r="A662" s="48"/>
      <c r="B662" s="48"/>
      <c r="C662" s="48"/>
      <c r="D662" s="186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>
      <c r="A663" s="48"/>
      <c r="B663" s="48"/>
      <c r="C663" s="48"/>
      <c r="D663" s="186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>
      <c r="A664" s="48"/>
      <c r="B664" s="48"/>
      <c r="C664" s="48"/>
      <c r="D664" s="186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>
      <c r="A665" s="48"/>
      <c r="B665" s="48"/>
      <c r="C665" s="48"/>
      <c r="D665" s="186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>
      <c r="A666" s="48"/>
      <c r="B666" s="48"/>
      <c r="C666" s="48"/>
      <c r="D666" s="186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>
      <c r="A667" s="48"/>
      <c r="B667" s="48"/>
      <c r="C667" s="48"/>
      <c r="D667" s="186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>
      <c r="A668" s="48"/>
      <c r="B668" s="48"/>
      <c r="C668" s="48"/>
      <c r="D668" s="186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>
      <c r="A669" s="48"/>
      <c r="B669" s="48"/>
      <c r="C669" s="48"/>
      <c r="D669" s="186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>
      <c r="A670" s="48"/>
      <c r="B670" s="48"/>
      <c r="C670" s="48"/>
      <c r="D670" s="186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>
      <c r="A671" s="48"/>
      <c r="B671" s="48"/>
      <c r="C671" s="48"/>
      <c r="D671" s="186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>
      <c r="A672" s="48"/>
      <c r="B672" s="48"/>
      <c r="C672" s="48"/>
      <c r="D672" s="186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>
      <c r="A673" s="48"/>
      <c r="B673" s="48"/>
      <c r="C673" s="48"/>
      <c r="D673" s="186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>
      <c r="A674" s="48"/>
      <c r="B674" s="48"/>
      <c r="C674" s="48"/>
      <c r="D674" s="186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>
      <c r="A675" s="48"/>
      <c r="B675" s="48"/>
      <c r="C675" s="48"/>
      <c r="D675" s="186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>
      <c r="A676" s="48"/>
      <c r="B676" s="48"/>
      <c r="C676" s="48"/>
      <c r="D676" s="186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>
      <c r="A677" s="48"/>
      <c r="B677" s="48"/>
      <c r="C677" s="48"/>
      <c r="D677" s="186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>
      <c r="A678" s="48"/>
      <c r="B678" s="48"/>
      <c r="C678" s="48"/>
      <c r="D678" s="186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>
      <c r="A679" s="48"/>
      <c r="B679" s="48"/>
      <c r="C679" s="48"/>
      <c r="D679" s="186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>
      <c r="A680" s="48"/>
      <c r="B680" s="48"/>
      <c r="C680" s="48"/>
      <c r="D680" s="186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>
      <c r="A681" s="48"/>
      <c r="B681" s="48"/>
      <c r="C681" s="48"/>
      <c r="D681" s="186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>
      <c r="A682" s="48"/>
      <c r="B682" s="48"/>
      <c r="C682" s="48"/>
      <c r="D682" s="186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>
      <c r="A683" s="48"/>
      <c r="B683" s="48"/>
      <c r="C683" s="48"/>
      <c r="D683" s="186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>
      <c r="A684" s="48"/>
      <c r="B684" s="48"/>
      <c r="C684" s="48"/>
      <c r="D684" s="186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>
      <c r="A685" s="48"/>
      <c r="B685" s="48"/>
      <c r="C685" s="48"/>
      <c r="D685" s="186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>
      <c r="A686" s="48"/>
      <c r="B686" s="48"/>
      <c r="C686" s="48"/>
      <c r="D686" s="186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>
      <c r="A687" s="48"/>
      <c r="B687" s="48"/>
      <c r="C687" s="48"/>
      <c r="D687" s="186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>
      <c r="A688" s="48"/>
      <c r="B688" s="48"/>
      <c r="C688" s="48"/>
      <c r="D688" s="186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>
      <c r="A689" s="48"/>
      <c r="B689" s="48"/>
      <c r="C689" s="48"/>
      <c r="D689" s="186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>
      <c r="A690" s="48"/>
      <c r="B690" s="48"/>
      <c r="C690" s="48"/>
      <c r="D690" s="186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>
      <c r="A691" s="48"/>
      <c r="B691" s="48"/>
      <c r="C691" s="48"/>
      <c r="D691" s="186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>
      <c r="A692" s="48"/>
      <c r="B692" s="48"/>
      <c r="C692" s="48"/>
      <c r="D692" s="186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>
      <c r="A693" s="48"/>
      <c r="B693" s="48"/>
      <c r="C693" s="48"/>
      <c r="D693" s="186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>
      <c r="A694" s="48"/>
      <c r="B694" s="48"/>
      <c r="C694" s="48"/>
      <c r="D694" s="186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>
      <c r="A695" s="48"/>
      <c r="B695" s="48"/>
      <c r="C695" s="48"/>
      <c r="D695" s="186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>
      <c r="A696" s="48"/>
      <c r="B696" s="48"/>
      <c r="C696" s="48"/>
      <c r="D696" s="186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>
      <c r="A697" s="48"/>
      <c r="B697" s="48"/>
      <c r="C697" s="48"/>
      <c r="D697" s="186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>
      <c r="A698" s="48"/>
      <c r="B698" s="48"/>
      <c r="C698" s="48"/>
      <c r="D698" s="186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>
      <c r="A699" s="48"/>
      <c r="B699" s="48"/>
      <c r="C699" s="48"/>
      <c r="D699" s="186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>
      <c r="A700" s="48"/>
      <c r="B700" s="48"/>
      <c r="C700" s="48"/>
      <c r="D700" s="186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>
      <c r="A701" s="48"/>
      <c r="B701" s="48"/>
      <c r="C701" s="48"/>
      <c r="D701" s="186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>
      <c r="A702" s="48"/>
      <c r="B702" s="48"/>
      <c r="C702" s="48"/>
      <c r="D702" s="186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>
      <c r="A703" s="48"/>
      <c r="B703" s="48"/>
      <c r="C703" s="48"/>
      <c r="D703" s="186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>
      <c r="A704" s="48"/>
      <c r="B704" s="48"/>
      <c r="C704" s="48"/>
      <c r="D704" s="186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>
      <c r="A705" s="48"/>
      <c r="B705" s="48"/>
      <c r="C705" s="48"/>
      <c r="D705" s="186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>
      <c r="A706" s="48"/>
      <c r="B706" s="48"/>
      <c r="C706" s="48"/>
      <c r="D706" s="186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>
      <c r="A707" s="48"/>
      <c r="B707" s="48"/>
      <c r="C707" s="48"/>
      <c r="D707" s="186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>
      <c r="A708" s="48"/>
      <c r="B708" s="48"/>
      <c r="C708" s="48"/>
      <c r="D708" s="186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>
      <c r="A709" s="48"/>
      <c r="B709" s="48"/>
      <c r="C709" s="48"/>
      <c r="D709" s="186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>
      <c r="A710" s="48"/>
      <c r="B710" s="48"/>
      <c r="C710" s="48"/>
      <c r="D710" s="186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>
      <c r="A711" s="48"/>
      <c r="B711" s="48"/>
      <c r="C711" s="48"/>
      <c r="D711" s="186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>
      <c r="A712" s="48"/>
      <c r="B712" s="48"/>
      <c r="C712" s="48"/>
      <c r="D712" s="186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>
      <c r="A713" s="48"/>
      <c r="B713" s="48"/>
      <c r="C713" s="48"/>
      <c r="D713" s="186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>
      <c r="A714" s="48"/>
      <c r="B714" s="48"/>
      <c r="C714" s="48"/>
      <c r="D714" s="186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>
      <c r="A715" s="48"/>
      <c r="B715" s="48"/>
      <c r="C715" s="48"/>
      <c r="D715" s="186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>
      <c r="A716" s="48"/>
      <c r="B716" s="48"/>
      <c r="C716" s="48"/>
      <c r="D716" s="186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>
      <c r="A717" s="48"/>
      <c r="B717" s="48"/>
      <c r="C717" s="48"/>
      <c r="D717" s="186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>
      <c r="A718" s="48"/>
      <c r="B718" s="48"/>
      <c r="C718" s="48"/>
      <c r="D718" s="186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>
      <c r="A719" s="48"/>
      <c r="B719" s="48"/>
      <c r="C719" s="48"/>
      <c r="D719" s="186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>
      <c r="A720" s="48"/>
      <c r="B720" s="48"/>
      <c r="C720" s="48"/>
      <c r="D720" s="186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>
      <c r="A721" s="48"/>
      <c r="B721" s="48"/>
      <c r="C721" s="48"/>
      <c r="D721" s="186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>
      <c r="A722" s="48"/>
      <c r="B722" s="48"/>
      <c r="C722" s="48"/>
      <c r="D722" s="186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>
      <c r="A723" s="48"/>
      <c r="B723" s="48"/>
      <c r="C723" s="48"/>
      <c r="D723" s="186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>
      <c r="A724" s="48"/>
      <c r="B724" s="48"/>
      <c r="C724" s="48"/>
      <c r="D724" s="186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>
      <c r="A725" s="48"/>
      <c r="B725" s="48"/>
      <c r="C725" s="48"/>
      <c r="D725" s="186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>
      <c r="A726" s="48"/>
      <c r="B726" s="48"/>
      <c r="C726" s="48"/>
      <c r="D726" s="186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>
      <c r="A727" s="48"/>
      <c r="B727" s="48"/>
      <c r="C727" s="48"/>
      <c r="D727" s="186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>
      <c r="A728" s="48"/>
      <c r="B728" s="48"/>
      <c r="C728" s="48"/>
      <c r="D728" s="186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>
      <c r="A729" s="48"/>
      <c r="B729" s="48"/>
      <c r="C729" s="48"/>
      <c r="D729" s="186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>
      <c r="A730" s="48"/>
      <c r="B730" s="48"/>
      <c r="C730" s="48"/>
      <c r="D730" s="186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>
      <c r="A731" s="48"/>
      <c r="B731" s="48"/>
      <c r="C731" s="48"/>
      <c r="D731" s="186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>
      <c r="A732" s="48"/>
      <c r="B732" s="48"/>
      <c r="C732" s="48"/>
      <c r="D732" s="186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>
      <c r="A733" s="48"/>
      <c r="B733" s="48"/>
      <c r="C733" s="48"/>
      <c r="D733" s="186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>
      <c r="A734" s="48"/>
      <c r="B734" s="48"/>
      <c r="C734" s="48"/>
      <c r="D734" s="186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>
      <c r="A735" s="48"/>
      <c r="B735" s="48"/>
      <c r="C735" s="48"/>
      <c r="D735" s="186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>
      <c r="A736" s="48"/>
      <c r="B736" s="48"/>
      <c r="C736" s="48"/>
      <c r="D736" s="186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>
      <c r="A737" s="48"/>
      <c r="B737" s="48"/>
      <c r="C737" s="48"/>
      <c r="D737" s="186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>
      <c r="A738" s="48"/>
      <c r="B738" s="48"/>
      <c r="C738" s="48"/>
      <c r="D738" s="186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>
      <c r="A739" s="48"/>
      <c r="B739" s="48"/>
      <c r="C739" s="48"/>
      <c r="D739" s="186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>
      <c r="A740" s="48"/>
      <c r="B740" s="48"/>
      <c r="C740" s="48"/>
      <c r="D740" s="186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>
      <c r="A741" s="48"/>
      <c r="B741" s="48"/>
      <c r="C741" s="48"/>
      <c r="D741" s="186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>
      <c r="A742" s="48"/>
      <c r="B742" s="48"/>
      <c r="C742" s="48"/>
      <c r="D742" s="186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>
      <c r="A743" s="48"/>
      <c r="B743" s="48"/>
      <c r="C743" s="48"/>
      <c r="D743" s="186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>
      <c r="A744" s="48"/>
      <c r="B744" s="48"/>
      <c r="C744" s="48"/>
      <c r="D744" s="186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>
      <c r="A745" s="48"/>
      <c r="B745" s="48"/>
      <c r="C745" s="48"/>
      <c r="D745" s="186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>
      <c r="A746" s="48"/>
      <c r="B746" s="48"/>
      <c r="C746" s="48"/>
      <c r="D746" s="186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>
      <c r="A747" s="48"/>
      <c r="B747" s="48"/>
      <c r="C747" s="48"/>
      <c r="D747" s="186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>
      <c r="A748" s="48"/>
      <c r="B748" s="48"/>
      <c r="C748" s="48"/>
      <c r="D748" s="186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>
      <c r="A749" s="48"/>
      <c r="B749" s="48"/>
      <c r="C749" s="48"/>
      <c r="D749" s="186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>
      <c r="A750" s="48"/>
      <c r="B750" s="48"/>
      <c r="C750" s="48"/>
      <c r="D750" s="186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>
      <c r="A751" s="48"/>
      <c r="B751" s="48"/>
      <c r="C751" s="48"/>
      <c r="D751" s="186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>
      <c r="A752" s="48"/>
      <c r="B752" s="48"/>
      <c r="C752" s="48"/>
      <c r="D752" s="186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>
      <c r="A753" s="48"/>
      <c r="B753" s="48"/>
      <c r="C753" s="48"/>
      <c r="D753" s="186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>
      <c r="A754" s="48"/>
      <c r="B754" s="48"/>
      <c r="C754" s="48"/>
      <c r="D754" s="186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>
      <c r="A755" s="48"/>
      <c r="B755" s="48"/>
      <c r="C755" s="48"/>
      <c r="D755" s="186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>
      <c r="A756" s="48"/>
      <c r="B756" s="48"/>
      <c r="C756" s="48"/>
      <c r="D756" s="186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>
      <c r="A757" s="48"/>
      <c r="B757" s="48"/>
      <c r="C757" s="48"/>
      <c r="D757" s="186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>
      <c r="A758" s="48"/>
      <c r="B758" s="48"/>
      <c r="C758" s="48"/>
      <c r="D758" s="186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>
      <c r="A759" s="48"/>
      <c r="B759" s="48"/>
      <c r="C759" s="48"/>
      <c r="D759" s="186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>
      <c r="A760" s="48"/>
      <c r="B760" s="48"/>
      <c r="C760" s="48"/>
      <c r="D760" s="186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>
      <c r="A761" s="48"/>
      <c r="B761" s="48"/>
      <c r="C761" s="48"/>
      <c r="D761" s="186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>
      <c r="A762" s="48"/>
      <c r="B762" s="48"/>
      <c r="C762" s="48"/>
      <c r="D762" s="186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>
      <c r="A763" s="48"/>
      <c r="B763" s="48"/>
      <c r="C763" s="48"/>
      <c r="D763" s="186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>
      <c r="A764" s="48"/>
      <c r="B764" s="48"/>
      <c r="C764" s="48"/>
      <c r="D764" s="186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>
      <c r="A765" s="48"/>
      <c r="B765" s="48"/>
      <c r="C765" s="48"/>
      <c r="D765" s="186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>
      <c r="A766" s="48"/>
      <c r="B766" s="48"/>
      <c r="C766" s="48"/>
      <c r="D766" s="186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>
      <c r="A767" s="48"/>
      <c r="B767" s="48"/>
      <c r="C767" s="48"/>
      <c r="D767" s="186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>
      <c r="A768" s="48"/>
      <c r="B768" s="48"/>
      <c r="C768" s="48"/>
      <c r="D768" s="186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>
      <c r="A769" s="48"/>
      <c r="B769" s="48"/>
      <c r="C769" s="48"/>
      <c r="D769" s="186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>
      <c r="A770" s="48"/>
      <c r="B770" s="48"/>
      <c r="C770" s="48"/>
      <c r="D770" s="186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>
      <c r="A771" s="48"/>
      <c r="B771" s="48"/>
      <c r="C771" s="48"/>
      <c r="D771" s="186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>
      <c r="A772" s="48"/>
      <c r="B772" s="48"/>
      <c r="C772" s="48"/>
      <c r="D772" s="186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>
      <c r="A773" s="48"/>
      <c r="B773" s="48"/>
      <c r="C773" s="48"/>
      <c r="D773" s="186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>
      <c r="A774" s="48"/>
      <c r="B774" s="48"/>
      <c r="C774" s="48"/>
      <c r="D774" s="186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>
      <c r="A775" s="48"/>
      <c r="B775" s="48"/>
      <c r="C775" s="48"/>
      <c r="D775" s="186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>
      <c r="A776" s="48"/>
      <c r="B776" s="48"/>
      <c r="C776" s="48"/>
      <c r="D776" s="186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>
      <c r="A777" s="48"/>
      <c r="B777" s="48"/>
      <c r="C777" s="48"/>
      <c r="D777" s="186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>
      <c r="A778" s="48"/>
      <c r="B778" s="48"/>
      <c r="C778" s="48"/>
      <c r="D778" s="186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>
      <c r="A779" s="48"/>
      <c r="B779" s="48"/>
      <c r="C779" s="48"/>
      <c r="D779" s="186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>
      <c r="A780" s="48"/>
      <c r="B780" s="48"/>
      <c r="C780" s="48"/>
      <c r="D780" s="186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>
      <c r="A781" s="48"/>
      <c r="B781" s="48"/>
      <c r="C781" s="48"/>
      <c r="D781" s="186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>
      <c r="A782" s="48"/>
      <c r="B782" s="48"/>
      <c r="C782" s="48"/>
      <c r="D782" s="186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>
      <c r="A783" s="48"/>
      <c r="B783" s="48"/>
      <c r="C783" s="48"/>
      <c r="D783" s="186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>
      <c r="A784" s="48"/>
      <c r="B784" s="48"/>
      <c r="C784" s="48"/>
      <c r="D784" s="186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>
      <c r="A785" s="48"/>
      <c r="B785" s="48"/>
      <c r="C785" s="48"/>
      <c r="D785" s="186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>
      <c r="A786" s="48"/>
      <c r="B786" s="48"/>
      <c r="C786" s="48"/>
      <c r="D786" s="186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>
      <c r="A787" s="48"/>
      <c r="B787" s="48"/>
      <c r="C787" s="48"/>
      <c r="D787" s="186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>
      <c r="A788" s="48"/>
      <c r="B788" s="48"/>
      <c r="C788" s="48"/>
      <c r="D788" s="186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>
      <c r="A789" s="48"/>
      <c r="B789" s="48"/>
      <c r="C789" s="48"/>
      <c r="D789" s="186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>
      <c r="A790" s="48"/>
      <c r="B790" s="48"/>
      <c r="C790" s="48"/>
      <c r="D790" s="186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>
      <c r="A791" s="48"/>
      <c r="B791" s="48"/>
      <c r="C791" s="48"/>
      <c r="D791" s="186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>
      <c r="A792" s="48"/>
      <c r="B792" s="48"/>
      <c r="C792" s="48"/>
      <c r="D792" s="186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>
      <c r="A793" s="48"/>
      <c r="B793" s="48"/>
      <c r="C793" s="48"/>
      <c r="D793" s="186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>
      <c r="A794" s="48"/>
      <c r="B794" s="48"/>
      <c r="C794" s="48"/>
      <c r="D794" s="186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>
      <c r="A795" s="48"/>
      <c r="B795" s="48"/>
      <c r="C795" s="48"/>
      <c r="D795" s="186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>
      <c r="A796" s="48"/>
      <c r="B796" s="48"/>
      <c r="C796" s="48"/>
      <c r="D796" s="186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>
      <c r="A797" s="48"/>
      <c r="B797" s="48"/>
      <c r="C797" s="48"/>
      <c r="D797" s="186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>
      <c r="A798" s="48"/>
      <c r="B798" s="48"/>
      <c r="C798" s="48"/>
      <c r="D798" s="186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>
      <c r="A799" s="48"/>
      <c r="B799" s="48"/>
      <c r="C799" s="48"/>
      <c r="D799" s="186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>
      <c r="A800" s="48"/>
      <c r="B800" s="48"/>
      <c r="C800" s="48"/>
      <c r="D800" s="186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>
      <c r="A801" s="48"/>
      <c r="B801" s="48"/>
      <c r="C801" s="48"/>
      <c r="D801" s="186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>
      <c r="A802" s="48"/>
      <c r="B802" s="48"/>
      <c r="C802" s="48"/>
      <c r="D802" s="186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>
      <c r="A803" s="48"/>
      <c r="B803" s="48"/>
      <c r="C803" s="48"/>
      <c r="D803" s="186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>
      <c r="A804" s="48"/>
      <c r="B804" s="48"/>
      <c r="C804" s="48"/>
      <c r="D804" s="186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>
      <c r="A805" s="48"/>
      <c r="B805" s="48"/>
      <c r="C805" s="48"/>
      <c r="D805" s="186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>
      <c r="A806" s="48"/>
      <c r="B806" s="48"/>
      <c r="C806" s="48"/>
      <c r="D806" s="186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>
      <c r="A807" s="48"/>
      <c r="B807" s="48"/>
      <c r="C807" s="48"/>
      <c r="D807" s="186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>
      <c r="A808" s="48"/>
      <c r="B808" s="48"/>
      <c r="C808" s="48"/>
      <c r="D808" s="186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>
      <c r="A809" s="48"/>
      <c r="B809" s="48"/>
      <c r="C809" s="48"/>
      <c r="D809" s="186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>
      <c r="A810" s="48"/>
      <c r="B810" s="48"/>
      <c r="C810" s="48"/>
      <c r="D810" s="186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>
      <c r="A811" s="48"/>
      <c r="B811" s="48"/>
      <c r="C811" s="48"/>
      <c r="D811" s="186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>
      <c r="A812" s="48"/>
      <c r="B812" s="48"/>
      <c r="C812" s="48"/>
      <c r="D812" s="186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>
      <c r="A813" s="48"/>
      <c r="B813" s="48"/>
      <c r="C813" s="48"/>
      <c r="D813" s="186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>
      <c r="A814" s="48"/>
      <c r="B814" s="48"/>
      <c r="C814" s="48"/>
      <c r="D814" s="186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>
      <c r="A815" s="48"/>
      <c r="B815" s="48"/>
      <c r="C815" s="48"/>
      <c r="D815" s="186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>
      <c r="A816" s="48"/>
      <c r="B816" s="48"/>
      <c r="C816" s="48"/>
      <c r="D816" s="186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>
      <c r="A817" s="48"/>
      <c r="B817" s="48"/>
      <c r="C817" s="48"/>
      <c r="D817" s="186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>
      <c r="A818" s="48"/>
      <c r="B818" s="48"/>
      <c r="C818" s="48"/>
      <c r="D818" s="186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>
      <c r="A819" s="48"/>
      <c r="B819" s="48"/>
      <c r="C819" s="48"/>
      <c r="D819" s="186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>
      <c r="A820" s="48"/>
      <c r="B820" s="48"/>
      <c r="C820" s="48"/>
      <c r="D820" s="186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>
      <c r="A821" s="48"/>
      <c r="B821" s="48"/>
      <c r="C821" s="48"/>
      <c r="D821" s="186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>
      <c r="A822" s="48"/>
      <c r="B822" s="48"/>
      <c r="C822" s="48"/>
      <c r="D822" s="186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>
      <c r="A823" s="48"/>
      <c r="B823" s="48"/>
      <c r="C823" s="48"/>
      <c r="D823" s="186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>
      <c r="A824" s="48"/>
      <c r="B824" s="48"/>
      <c r="C824" s="48"/>
      <c r="D824" s="186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>
      <c r="A825" s="48"/>
      <c r="B825" s="48"/>
      <c r="C825" s="48"/>
      <c r="D825" s="186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>
      <c r="A826" s="48"/>
      <c r="B826" s="48"/>
      <c r="C826" s="48"/>
      <c r="D826" s="186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>
      <c r="A827" s="48"/>
      <c r="B827" s="48"/>
      <c r="C827" s="48"/>
      <c r="D827" s="186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>
      <c r="A828" s="48"/>
      <c r="B828" s="48"/>
      <c r="C828" s="48"/>
      <c r="D828" s="186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>
      <c r="A829" s="48"/>
      <c r="B829" s="48"/>
      <c r="C829" s="48"/>
      <c r="D829" s="186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>
      <c r="A830" s="48"/>
      <c r="B830" s="48"/>
      <c r="C830" s="48"/>
      <c r="D830" s="186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>
      <c r="A831" s="48"/>
      <c r="B831" s="48"/>
      <c r="C831" s="48"/>
      <c r="D831" s="186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>
      <c r="A832" s="48"/>
      <c r="B832" s="48"/>
      <c r="C832" s="48"/>
      <c r="D832" s="186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>
      <c r="A833" s="48"/>
      <c r="B833" s="48"/>
      <c r="C833" s="48"/>
      <c r="D833" s="186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>
      <c r="A834" s="48"/>
      <c r="B834" s="48"/>
      <c r="C834" s="48"/>
      <c r="D834" s="186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>
      <c r="A835" s="48"/>
      <c r="B835" s="48"/>
      <c r="C835" s="48"/>
      <c r="D835" s="186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>
      <c r="A836" s="48"/>
      <c r="B836" s="48"/>
      <c r="C836" s="48"/>
      <c r="D836" s="186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>
      <c r="A837" s="48"/>
      <c r="B837" s="48"/>
      <c r="C837" s="48"/>
      <c r="D837" s="186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>
      <c r="A838" s="48"/>
      <c r="B838" s="48"/>
      <c r="C838" s="48"/>
      <c r="D838" s="186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>
      <c r="A839" s="48"/>
      <c r="B839" s="48"/>
      <c r="C839" s="48"/>
      <c r="D839" s="186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>
      <c r="A840" s="48"/>
      <c r="B840" s="48"/>
      <c r="C840" s="48"/>
      <c r="D840" s="186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>
      <c r="A841" s="48"/>
      <c r="B841" s="48"/>
      <c r="C841" s="48"/>
      <c r="D841" s="186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>
      <c r="A842" s="48"/>
      <c r="B842" s="48"/>
      <c r="C842" s="48"/>
      <c r="D842" s="186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>
      <c r="A843" s="48"/>
      <c r="B843" s="48"/>
      <c r="C843" s="48"/>
      <c r="D843" s="186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>
      <c r="A844" s="48"/>
      <c r="B844" s="48"/>
      <c r="C844" s="48"/>
      <c r="D844" s="186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>
      <c r="A845" s="48"/>
      <c r="B845" s="48"/>
      <c r="C845" s="48"/>
      <c r="D845" s="186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>
      <c r="A846" s="48"/>
      <c r="B846" s="48"/>
      <c r="C846" s="48"/>
      <c r="D846" s="186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>
      <c r="A847" s="48"/>
      <c r="B847" s="48"/>
      <c r="C847" s="48"/>
      <c r="D847" s="186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>
      <c r="A848" s="48"/>
      <c r="B848" s="48"/>
      <c r="C848" s="48"/>
      <c r="D848" s="186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>
      <c r="A849" s="48"/>
      <c r="B849" s="48"/>
      <c r="C849" s="48"/>
      <c r="D849" s="186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>
      <c r="A850" s="48"/>
      <c r="B850" s="48"/>
      <c r="C850" s="48"/>
      <c r="D850" s="186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>
      <c r="A851" s="48"/>
      <c r="B851" s="48"/>
      <c r="C851" s="48"/>
      <c r="D851" s="186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>
      <c r="A852" s="48"/>
      <c r="B852" s="48"/>
      <c r="C852" s="48"/>
      <c r="D852" s="186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>
      <c r="A853" s="48"/>
      <c r="B853" s="48"/>
      <c r="C853" s="48"/>
      <c r="D853" s="186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>
      <c r="A854" s="48"/>
      <c r="B854" s="48"/>
      <c r="C854" s="48"/>
      <c r="D854" s="186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>
      <c r="A855" s="48"/>
      <c r="B855" s="48"/>
      <c r="C855" s="48"/>
      <c r="D855" s="186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>
      <c r="A856" s="48"/>
      <c r="B856" s="48"/>
      <c r="C856" s="48"/>
      <c r="D856" s="186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>
      <c r="A857" s="48"/>
      <c r="B857" s="48"/>
      <c r="C857" s="48"/>
      <c r="D857" s="186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>
      <c r="A858" s="48"/>
      <c r="B858" s="48"/>
      <c r="C858" s="48"/>
      <c r="D858" s="186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>
      <c r="A859" s="48"/>
      <c r="B859" s="48"/>
      <c r="C859" s="48"/>
      <c r="D859" s="186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>
      <c r="A860" s="48"/>
      <c r="B860" s="48"/>
      <c r="C860" s="48"/>
      <c r="D860" s="186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>
      <c r="A861" s="48"/>
      <c r="B861" s="48"/>
      <c r="C861" s="48"/>
      <c r="D861" s="186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>
      <c r="A862" s="48"/>
      <c r="B862" s="48"/>
      <c r="C862" s="48"/>
      <c r="D862" s="186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>
      <c r="A863" s="48"/>
      <c r="B863" s="48"/>
      <c r="C863" s="48"/>
      <c r="D863" s="186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>
      <c r="A864" s="48"/>
      <c r="B864" s="48"/>
      <c r="C864" s="48"/>
      <c r="D864" s="186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>
      <c r="A865" s="48"/>
      <c r="B865" s="48"/>
      <c r="C865" s="48"/>
      <c r="D865" s="186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>
      <c r="A866" s="48"/>
      <c r="B866" s="48"/>
      <c r="C866" s="48"/>
      <c r="D866" s="186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>
      <c r="A867" s="48"/>
      <c r="B867" s="48"/>
      <c r="C867" s="48"/>
      <c r="D867" s="186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>
      <c r="A868" s="48"/>
      <c r="B868" s="48"/>
      <c r="C868" s="48"/>
      <c r="D868" s="186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>
      <c r="A869" s="48"/>
      <c r="B869" s="48"/>
      <c r="C869" s="48"/>
      <c r="D869" s="186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>
      <c r="A870" s="48"/>
      <c r="B870" s="48"/>
      <c r="C870" s="48"/>
      <c r="D870" s="186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>
      <c r="A871" s="48"/>
      <c r="B871" s="48"/>
      <c r="C871" s="48"/>
      <c r="D871" s="186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>
      <c r="A872" s="48"/>
      <c r="B872" s="48"/>
      <c r="C872" s="48"/>
      <c r="D872" s="186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>
      <c r="A873" s="48"/>
      <c r="B873" s="48"/>
      <c r="C873" s="48"/>
      <c r="D873" s="186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>
      <c r="A874" s="48"/>
      <c r="B874" s="48"/>
      <c r="C874" s="48"/>
      <c r="D874" s="186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>
      <c r="A875" s="48"/>
      <c r="B875" s="48"/>
      <c r="C875" s="48"/>
      <c r="D875" s="186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>
      <c r="A876" s="48"/>
      <c r="B876" s="48"/>
      <c r="C876" s="48"/>
      <c r="D876" s="186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>
      <c r="A877" s="48"/>
      <c r="B877" s="48"/>
      <c r="C877" s="48"/>
      <c r="D877" s="186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>
      <c r="A878" s="48"/>
      <c r="B878" s="48"/>
      <c r="C878" s="48"/>
      <c r="D878" s="186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>
      <c r="A879" s="48"/>
      <c r="B879" s="48"/>
      <c r="C879" s="48"/>
      <c r="D879" s="186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>
      <c r="A880" s="48"/>
      <c r="B880" s="48"/>
      <c r="C880" s="48"/>
      <c r="D880" s="186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>
      <c r="A881" s="48"/>
      <c r="B881" s="48"/>
      <c r="C881" s="48"/>
      <c r="D881" s="186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>
      <c r="A882" s="48"/>
      <c r="B882" s="48"/>
      <c r="C882" s="48"/>
      <c r="D882" s="186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>
      <c r="A883" s="48"/>
      <c r="B883" s="48"/>
      <c r="C883" s="48"/>
      <c r="D883" s="186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>
      <c r="A884" s="48"/>
      <c r="B884" s="48"/>
      <c r="C884" s="48"/>
      <c r="D884" s="186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>
      <c r="A885" s="48"/>
      <c r="B885" s="48"/>
      <c r="C885" s="48"/>
      <c r="D885" s="186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>
      <c r="A886" s="48"/>
      <c r="B886" s="48"/>
      <c r="C886" s="48"/>
      <c r="D886" s="186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>
      <c r="A887" s="48"/>
      <c r="B887" s="48"/>
      <c r="C887" s="48"/>
      <c r="D887" s="186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>
      <c r="A888" s="48"/>
      <c r="B888" s="48"/>
      <c r="C888" s="48"/>
      <c r="D888" s="186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>
      <c r="A889" s="48"/>
      <c r="B889" s="48"/>
      <c r="C889" s="48"/>
      <c r="D889" s="186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>
      <c r="A890" s="48"/>
      <c r="B890" s="48"/>
      <c r="C890" s="48"/>
      <c r="D890" s="186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>
      <c r="A891" s="48"/>
      <c r="B891" s="48"/>
      <c r="C891" s="48"/>
      <c r="D891" s="186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>
      <c r="A892" s="48"/>
      <c r="B892" s="48"/>
      <c r="C892" s="48"/>
      <c r="D892" s="186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>
      <c r="A893" s="48"/>
      <c r="B893" s="48"/>
      <c r="C893" s="48"/>
      <c r="D893" s="186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>
      <c r="A894" s="48"/>
      <c r="B894" s="48"/>
      <c r="C894" s="48"/>
      <c r="D894" s="186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>
      <c r="A895" s="48"/>
      <c r="B895" s="48"/>
      <c r="C895" s="48"/>
      <c r="D895" s="186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>
      <c r="A896" s="48"/>
      <c r="B896" s="48"/>
      <c r="C896" s="48"/>
      <c r="D896" s="186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>
      <c r="A897" s="48"/>
      <c r="B897" s="48"/>
      <c r="C897" s="48"/>
      <c r="D897" s="186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>
      <c r="A898" s="48"/>
      <c r="B898" s="48"/>
      <c r="C898" s="48"/>
      <c r="D898" s="186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>
      <c r="A899" s="48"/>
      <c r="B899" s="48"/>
      <c r="C899" s="48"/>
      <c r="D899" s="186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>
      <c r="A900" s="48"/>
      <c r="B900" s="48"/>
      <c r="C900" s="48"/>
      <c r="D900" s="186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>
      <c r="A901" s="48"/>
      <c r="B901" s="48"/>
      <c r="C901" s="48"/>
      <c r="D901" s="186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>
      <c r="A902" s="48"/>
      <c r="B902" s="48"/>
      <c r="C902" s="48"/>
      <c r="D902" s="186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>
      <c r="A903" s="48"/>
      <c r="B903" s="48"/>
      <c r="C903" s="48"/>
      <c r="D903" s="186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>
      <c r="A904" s="48"/>
      <c r="B904" s="48"/>
      <c r="C904" s="48"/>
      <c r="D904" s="186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>
      <c r="A905" s="48"/>
      <c r="B905" s="48"/>
      <c r="C905" s="48"/>
      <c r="D905" s="186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>
      <c r="A906" s="48"/>
      <c r="B906" s="48"/>
      <c r="C906" s="48"/>
      <c r="D906" s="186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>
      <c r="A907" s="48"/>
      <c r="B907" s="48"/>
      <c r="C907" s="48"/>
      <c r="D907" s="186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>
      <c r="A908" s="48"/>
      <c r="B908" s="48"/>
      <c r="C908" s="48"/>
      <c r="D908" s="186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>
      <c r="A909" s="48"/>
      <c r="B909" s="48"/>
      <c r="C909" s="48"/>
      <c r="D909" s="186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>
      <c r="A910" s="48"/>
      <c r="B910" s="48"/>
      <c r="C910" s="48"/>
      <c r="D910" s="186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>
      <c r="A911" s="48"/>
      <c r="B911" s="48"/>
      <c r="C911" s="48"/>
      <c r="D911" s="186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>
      <c r="A912" s="48"/>
      <c r="B912" s="48"/>
      <c r="C912" s="48"/>
      <c r="D912" s="186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>
      <c r="A913" s="48"/>
      <c r="B913" s="48"/>
      <c r="C913" s="48"/>
      <c r="D913" s="186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>
      <c r="A914" s="48"/>
      <c r="B914" s="48"/>
      <c r="C914" s="48"/>
      <c r="D914" s="186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>
      <c r="A915" s="48"/>
      <c r="B915" s="48"/>
      <c r="C915" s="48"/>
      <c r="D915" s="186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>
      <c r="A916" s="48"/>
      <c r="B916" s="48"/>
      <c r="C916" s="48"/>
      <c r="D916" s="186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>
      <c r="A917" s="48"/>
      <c r="B917" s="48"/>
      <c r="C917" s="48"/>
      <c r="D917" s="186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>
      <c r="A918" s="48"/>
      <c r="B918" s="48"/>
      <c r="C918" s="48"/>
      <c r="D918" s="186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>
      <c r="A919" s="48"/>
      <c r="B919" s="48"/>
      <c r="C919" s="48"/>
      <c r="D919" s="186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>
      <c r="A920" s="48"/>
      <c r="B920" s="48"/>
      <c r="C920" s="48"/>
      <c r="D920" s="186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>
      <c r="A921" s="48"/>
      <c r="B921" s="48"/>
      <c r="C921" s="48"/>
      <c r="D921" s="186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>
      <c r="A922" s="48"/>
      <c r="B922" s="48"/>
      <c r="C922" s="48"/>
      <c r="D922" s="186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>
      <c r="A923" s="48"/>
      <c r="B923" s="48"/>
      <c r="C923" s="48"/>
      <c r="D923" s="186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>
      <c r="A924" s="48"/>
      <c r="B924" s="48"/>
      <c r="C924" s="48"/>
      <c r="D924" s="186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>
      <c r="A925" s="48"/>
      <c r="B925" s="48"/>
      <c r="C925" s="48"/>
      <c r="D925" s="186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>
      <c r="A926" s="48"/>
      <c r="B926" s="48"/>
      <c r="C926" s="48"/>
      <c r="D926" s="186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>
      <c r="A927" s="48"/>
      <c r="B927" s="48"/>
      <c r="C927" s="48"/>
      <c r="D927" s="186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>
      <c r="A928" s="48"/>
      <c r="B928" s="48"/>
      <c r="C928" s="48"/>
      <c r="D928" s="186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>
      <c r="A929" s="48"/>
      <c r="B929" s="48"/>
      <c r="C929" s="48"/>
      <c r="D929" s="186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>
      <c r="A930" s="48"/>
      <c r="B930" s="48"/>
      <c r="C930" s="48"/>
      <c r="D930" s="186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>
      <c r="A931" s="48"/>
      <c r="B931" s="48"/>
      <c r="C931" s="48"/>
      <c r="D931" s="186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>
      <c r="A932" s="48"/>
      <c r="B932" s="48"/>
      <c r="C932" s="48"/>
      <c r="D932" s="186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>
      <c r="A933" s="48"/>
      <c r="B933" s="48"/>
      <c r="C933" s="48"/>
      <c r="D933" s="186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>
      <c r="A934" s="48"/>
      <c r="B934" s="48"/>
      <c r="C934" s="48"/>
      <c r="D934" s="186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>
      <c r="A935" s="48"/>
      <c r="B935" s="48"/>
      <c r="C935" s="48"/>
      <c r="D935" s="186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>
      <c r="A936" s="48"/>
      <c r="B936" s="48"/>
      <c r="C936" s="48"/>
      <c r="D936" s="186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>
      <c r="A937" s="48"/>
      <c r="B937" s="48"/>
      <c r="C937" s="48"/>
      <c r="D937" s="186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>
      <c r="A938" s="48"/>
      <c r="B938" s="48"/>
      <c r="C938" s="48"/>
      <c r="D938" s="186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>
      <c r="A939" s="48"/>
      <c r="B939" s="48"/>
      <c r="C939" s="48"/>
      <c r="D939" s="186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>
      <c r="A940" s="48"/>
      <c r="B940" s="48"/>
      <c r="C940" s="48"/>
      <c r="D940" s="186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>
      <c r="A941" s="48"/>
      <c r="B941" s="48"/>
      <c r="C941" s="48"/>
      <c r="D941" s="186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>
      <c r="A942" s="48"/>
      <c r="B942" s="48"/>
      <c r="C942" s="48"/>
      <c r="D942" s="186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>
      <c r="A943" s="48"/>
      <c r="B943" s="48"/>
      <c r="C943" s="48"/>
      <c r="D943" s="186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>
      <c r="A944" s="48"/>
      <c r="B944" s="48"/>
      <c r="C944" s="48"/>
      <c r="D944" s="186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>
      <c r="A945" s="48"/>
      <c r="B945" s="48"/>
      <c r="C945" s="48"/>
      <c r="D945" s="186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>
      <c r="A946" s="48"/>
      <c r="B946" s="48"/>
      <c r="C946" s="48"/>
      <c r="D946" s="186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>
      <c r="A947" s="48"/>
      <c r="B947" s="48"/>
      <c r="C947" s="48"/>
      <c r="D947" s="186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>
      <c r="A948" s="48"/>
      <c r="B948" s="48"/>
      <c r="C948" s="48"/>
      <c r="D948" s="186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>
      <c r="A949" s="48"/>
      <c r="B949" s="48"/>
      <c r="C949" s="48"/>
      <c r="D949" s="186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>
      <c r="A950" s="48"/>
      <c r="B950" s="48"/>
      <c r="C950" s="48"/>
      <c r="D950" s="186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>
      <c r="A951" s="48"/>
      <c r="B951" s="48"/>
      <c r="C951" s="48"/>
      <c r="D951" s="186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>
      <c r="A952" s="48"/>
      <c r="B952" s="48"/>
      <c r="C952" s="48"/>
      <c r="D952" s="186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>
      <c r="A953" s="48"/>
      <c r="B953" s="48"/>
      <c r="C953" s="48"/>
      <c r="D953" s="186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>
      <c r="A954" s="48"/>
      <c r="B954" s="48"/>
      <c r="C954" s="48"/>
      <c r="D954" s="186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>
      <c r="A955" s="48"/>
      <c r="B955" s="48"/>
      <c r="C955" s="48"/>
      <c r="D955" s="186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>
      <c r="A956" s="48"/>
      <c r="B956" s="48"/>
      <c r="C956" s="48"/>
      <c r="D956" s="186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>
      <c r="A957" s="48"/>
      <c r="B957" s="48"/>
      <c r="C957" s="48"/>
      <c r="D957" s="186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>
      <c r="A958" s="48"/>
      <c r="B958" s="48"/>
      <c r="C958" s="48"/>
      <c r="D958" s="186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>
      <c r="A959" s="48"/>
      <c r="B959" s="48"/>
      <c r="C959" s="48"/>
      <c r="D959" s="186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>
      <c r="A960" s="48"/>
      <c r="B960" s="48"/>
      <c r="C960" s="48"/>
      <c r="D960" s="186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>
      <c r="A961" s="48"/>
      <c r="B961" s="48"/>
      <c r="C961" s="48"/>
      <c r="D961" s="186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>
      <c r="A962" s="48"/>
      <c r="B962" s="48"/>
      <c r="C962" s="48"/>
      <c r="D962" s="186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>
      <c r="A963" s="48"/>
      <c r="B963" s="48"/>
      <c r="C963" s="48"/>
      <c r="D963" s="186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>
      <c r="A964" s="48"/>
      <c r="B964" s="48"/>
      <c r="C964" s="48"/>
      <c r="D964" s="186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>
      <c r="A965" s="48"/>
      <c r="B965" s="48"/>
      <c r="C965" s="48"/>
      <c r="D965" s="186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>
      <c r="A966" s="48"/>
      <c r="B966" s="48"/>
      <c r="C966" s="48"/>
      <c r="D966" s="186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>
      <c r="A967" s="48"/>
      <c r="B967" s="48"/>
      <c r="C967" s="48"/>
      <c r="D967" s="186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>
      <c r="A968" s="48"/>
      <c r="B968" s="48"/>
      <c r="C968" s="48"/>
      <c r="D968" s="186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>
      <c r="A969" s="48"/>
      <c r="B969" s="48"/>
      <c r="C969" s="48"/>
      <c r="D969" s="186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>
      <c r="A970" s="48"/>
      <c r="B970" s="48"/>
      <c r="C970" s="48"/>
      <c r="D970" s="186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>
      <c r="A971" s="48"/>
      <c r="B971" s="48"/>
      <c r="C971" s="48"/>
      <c r="D971" s="186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>
      <c r="A972" s="48"/>
      <c r="B972" s="48"/>
      <c r="C972" s="48"/>
      <c r="D972" s="186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>
      <c r="A973" s="48"/>
      <c r="B973" s="48"/>
      <c r="C973" s="48"/>
      <c r="D973" s="186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>
      <c r="A974" s="48"/>
      <c r="B974" s="48"/>
      <c r="C974" s="48"/>
      <c r="D974" s="186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>
      <c r="A975" s="48"/>
      <c r="B975" s="48"/>
      <c r="C975" s="48"/>
      <c r="D975" s="186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>
      <c r="A976" s="48"/>
      <c r="B976" s="48"/>
      <c r="C976" s="48"/>
      <c r="D976" s="186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>
      <c r="A977" s="48"/>
      <c r="B977" s="48"/>
      <c r="C977" s="48"/>
      <c r="D977" s="186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>
      <c r="A978" s="48"/>
      <c r="B978" s="48"/>
      <c r="C978" s="48"/>
      <c r="D978" s="186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>
      <c r="A979" s="48"/>
      <c r="B979" s="48"/>
      <c r="C979" s="48"/>
      <c r="D979" s="186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>
      <c r="A980" s="48"/>
      <c r="B980" s="48"/>
      <c r="C980" s="48"/>
      <c r="D980" s="186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>
      <c r="A981" s="48"/>
      <c r="B981" s="48"/>
      <c r="C981" s="48"/>
      <c r="D981" s="186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>
      <c r="A982" s="48"/>
      <c r="B982" s="48"/>
      <c r="C982" s="48"/>
      <c r="D982" s="186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>
      <c r="A983" s="48"/>
      <c r="B983" s="48"/>
      <c r="C983" s="48"/>
      <c r="D983" s="186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>
      <c r="A984" s="48"/>
      <c r="B984" s="48"/>
      <c r="C984" s="48"/>
      <c r="D984" s="186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>
      <c r="A985" s="48"/>
      <c r="B985" s="48"/>
      <c r="C985" s="48"/>
      <c r="D985" s="186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>
      <c r="A986" s="48"/>
      <c r="B986" s="48"/>
      <c r="C986" s="48"/>
      <c r="D986" s="186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>
      <c r="A987" s="48"/>
      <c r="B987" s="48"/>
      <c r="C987" s="48"/>
      <c r="D987" s="186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>
      <c r="A988" s="48"/>
      <c r="B988" s="48"/>
      <c r="C988" s="48"/>
      <c r="D988" s="186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>
      <c r="A989" s="48"/>
      <c r="B989" s="48"/>
      <c r="C989" s="48"/>
      <c r="D989" s="186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>
      <c r="A990" s="48"/>
      <c r="B990" s="48"/>
      <c r="C990" s="48"/>
      <c r="D990" s="186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>
      <c r="A991" s="48"/>
      <c r="B991" s="48"/>
      <c r="C991" s="48"/>
      <c r="D991" s="186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>
      <c r="A992" s="48"/>
      <c r="B992" s="48"/>
      <c r="C992" s="48"/>
      <c r="D992" s="186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>
      <c r="A993" s="48"/>
      <c r="B993" s="48"/>
      <c r="C993" s="48"/>
      <c r="D993" s="186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>
      <c r="A994" s="48"/>
      <c r="B994" s="48"/>
      <c r="C994" s="48"/>
      <c r="D994" s="186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>
      <c r="A995" s="48"/>
      <c r="B995" s="48"/>
      <c r="C995" s="48"/>
      <c r="D995" s="186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>
      <c r="A996" s="48"/>
      <c r="B996" s="48"/>
      <c r="C996" s="48"/>
      <c r="D996" s="186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>
      <c r="A997" s="48"/>
      <c r="B997" s="48"/>
      <c r="C997" s="48"/>
      <c r="D997" s="186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>
      <c r="A998" s="48"/>
      <c r="B998" s="48"/>
      <c r="C998" s="48"/>
      <c r="D998" s="186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>
      <c r="A999" s="48"/>
      <c r="B999" s="48"/>
      <c r="C999" s="48"/>
      <c r="D999" s="186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</sheetData>
  <mergeCells count="1">
    <mergeCell ref="A1:Y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8.0"/>
    <col customWidth="1" min="3" max="3" width="22.0"/>
    <col customWidth="1" min="4" max="4" width="8.0"/>
    <col customWidth="1" min="5" max="5" width="8.25"/>
    <col customWidth="1" hidden="1" min="6" max="6" width="11.0"/>
    <col customWidth="1" min="7" max="7" width="11.0"/>
    <col customWidth="1" min="8" max="8" width="13.0"/>
    <col customWidth="1" min="9" max="18" width="8.0"/>
    <col customWidth="1" min="19" max="19" width="11.0"/>
    <col customWidth="1" min="20" max="20" width="16.0"/>
    <col customWidth="1" min="21" max="21" width="34.0"/>
  </cols>
  <sheetData>
    <row r="1" ht="24.0" customHeight="1">
      <c r="A1" s="2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  <c r="V1" s="8"/>
      <c r="W1" s="8"/>
      <c r="X1" s="8"/>
      <c r="Y1" s="8"/>
      <c r="Z1" s="8"/>
    </row>
    <row r="2" ht="19.5" customHeight="1">
      <c r="A2" s="9"/>
      <c r="B2" s="11" t="s">
        <v>3</v>
      </c>
      <c r="C2" s="13" t="s">
        <v>4</v>
      </c>
      <c r="D2" s="13" t="s">
        <v>5</v>
      </c>
      <c r="E2" s="13" t="s">
        <v>6</v>
      </c>
      <c r="F2" s="13"/>
      <c r="G2" s="13" t="s">
        <v>7</v>
      </c>
      <c r="H2" s="13" t="s">
        <v>9</v>
      </c>
      <c r="I2" s="13" t="s">
        <v>10</v>
      </c>
      <c r="J2" s="16"/>
      <c r="K2" s="13" t="s">
        <v>11</v>
      </c>
      <c r="L2" s="13" t="s">
        <v>12</v>
      </c>
      <c r="M2" s="11" t="s">
        <v>16</v>
      </c>
      <c r="N2" s="17" t="s">
        <v>18</v>
      </c>
      <c r="O2" s="11" t="s">
        <v>21</v>
      </c>
      <c r="P2" s="13" t="s">
        <v>19</v>
      </c>
      <c r="Q2" s="13" t="s">
        <v>15</v>
      </c>
      <c r="R2" s="13" t="s">
        <v>17</v>
      </c>
      <c r="S2" s="13" t="s">
        <v>26</v>
      </c>
      <c r="T2" s="19" t="s">
        <v>28</v>
      </c>
      <c r="U2" s="19" t="s">
        <v>30</v>
      </c>
      <c r="V2" s="20"/>
      <c r="W2" s="20"/>
      <c r="X2" s="20"/>
      <c r="Y2" s="20"/>
      <c r="Z2" s="20"/>
    </row>
    <row r="3" ht="20.25" customHeight="1">
      <c r="A3" s="25">
        <f t="shared" ref="A3:A8" si="1">F3+J3+N3</f>
        <v>86</v>
      </c>
      <c r="B3" s="29">
        <v>1.0</v>
      </c>
      <c r="C3" s="31" t="s">
        <v>44</v>
      </c>
      <c r="D3" s="34">
        <v>31.9</v>
      </c>
      <c r="E3" s="34" t="s">
        <v>47</v>
      </c>
      <c r="F3" s="37">
        <v>2.0</v>
      </c>
      <c r="G3" s="34">
        <v>72.4</v>
      </c>
      <c r="H3" s="29"/>
      <c r="I3" s="29">
        <v>8.0</v>
      </c>
      <c r="J3" s="39">
        <v>2.0</v>
      </c>
      <c r="K3" s="40">
        <v>58.0</v>
      </c>
      <c r="L3" s="29">
        <v>39.0</v>
      </c>
      <c r="M3" s="41">
        <v>38.0</v>
      </c>
      <c r="N3" s="44">
        <f t="shared" ref="N3:N8" si="2">(M3*2)+(P3*3)</f>
        <v>82</v>
      </c>
      <c r="O3" s="47">
        <f t="shared" ref="O3:O8" si="3">L3/K3</f>
        <v>0.6724137931</v>
      </c>
      <c r="P3" s="29">
        <v>2.0</v>
      </c>
      <c r="Q3" s="49">
        <v>2.27</v>
      </c>
      <c r="R3" s="51">
        <v>0.912</v>
      </c>
      <c r="S3" s="29" t="s">
        <v>51</v>
      </c>
      <c r="T3" s="53"/>
      <c r="U3" s="55"/>
      <c r="V3" s="57">
        <f t="shared" ref="V3:V74" si="4">M3-L3</f>
        <v>-1</v>
      </c>
    </row>
    <row r="4" ht="20.25" customHeight="1">
      <c r="A4" s="25">
        <f t="shared" si="1"/>
        <v>85</v>
      </c>
      <c r="B4" s="29">
        <v>1.0</v>
      </c>
      <c r="C4" s="31" t="s">
        <v>39</v>
      </c>
      <c r="D4" s="34">
        <v>27.5</v>
      </c>
      <c r="E4" s="34" t="s">
        <v>43</v>
      </c>
      <c r="F4" s="37">
        <v>1.0</v>
      </c>
      <c r="G4" s="34">
        <v>57.4</v>
      </c>
      <c r="H4" s="29"/>
      <c r="I4" s="29">
        <v>7.0</v>
      </c>
      <c r="J4" s="39">
        <v>2.0</v>
      </c>
      <c r="K4" s="40">
        <v>54.0</v>
      </c>
      <c r="L4" s="29">
        <v>35.0</v>
      </c>
      <c r="M4" s="41">
        <v>35.0</v>
      </c>
      <c r="N4" s="44">
        <f t="shared" si="2"/>
        <v>82</v>
      </c>
      <c r="O4" s="47">
        <f t="shared" si="3"/>
        <v>0.6481481481</v>
      </c>
      <c r="P4" s="29">
        <v>4.0</v>
      </c>
      <c r="Q4" s="49">
        <v>2.59</v>
      </c>
      <c r="R4" s="51">
        <v>0.899</v>
      </c>
      <c r="S4" s="29" t="s">
        <v>61</v>
      </c>
      <c r="T4" s="53"/>
      <c r="U4" s="55"/>
      <c r="V4" s="57">
        <f t="shared" si="4"/>
        <v>0</v>
      </c>
    </row>
    <row r="5" ht="20.25" customHeight="1">
      <c r="A5" s="25">
        <f t="shared" si="1"/>
        <v>79</v>
      </c>
      <c r="B5" s="29">
        <v>1.0</v>
      </c>
      <c r="C5" s="31" t="s">
        <v>55</v>
      </c>
      <c r="D5" s="34">
        <v>30.1</v>
      </c>
      <c r="E5" s="34" t="s">
        <v>57</v>
      </c>
      <c r="F5" s="37">
        <v>1.0</v>
      </c>
      <c r="G5" s="34">
        <v>53.1</v>
      </c>
      <c r="H5" s="29"/>
      <c r="I5" s="29">
        <v>11.0</v>
      </c>
      <c r="J5" s="39">
        <v>2.0</v>
      </c>
      <c r="K5" s="40">
        <v>64.0</v>
      </c>
      <c r="L5" s="29">
        <v>38.0</v>
      </c>
      <c r="M5" s="41">
        <v>35.0</v>
      </c>
      <c r="N5" s="44">
        <f t="shared" si="2"/>
        <v>76</v>
      </c>
      <c r="O5" s="47">
        <f t="shared" si="3"/>
        <v>0.59375</v>
      </c>
      <c r="P5" s="29">
        <v>2.0</v>
      </c>
      <c r="Q5" s="49">
        <v>2.73</v>
      </c>
      <c r="R5" s="51">
        <v>0.897</v>
      </c>
      <c r="S5" s="29" t="s">
        <v>68</v>
      </c>
      <c r="T5" s="53"/>
      <c r="U5" s="55"/>
      <c r="V5" s="57">
        <f t="shared" si="4"/>
        <v>-3</v>
      </c>
    </row>
    <row r="6" ht="20.25" customHeight="1">
      <c r="A6" s="25">
        <f t="shared" si="1"/>
        <v>69</v>
      </c>
      <c r="B6" s="41">
        <v>1.0</v>
      </c>
      <c r="C6" s="31" t="s">
        <v>69</v>
      </c>
      <c r="D6" s="34">
        <v>33.1</v>
      </c>
      <c r="E6" s="34" t="s">
        <v>71</v>
      </c>
      <c r="F6" s="37">
        <v>1.0</v>
      </c>
      <c r="G6" s="34">
        <v>56.1</v>
      </c>
      <c r="H6" s="29"/>
      <c r="I6" s="29">
        <v>5.0</v>
      </c>
      <c r="J6" s="39">
        <v>2.0</v>
      </c>
      <c r="K6" s="40">
        <v>57.0</v>
      </c>
      <c r="L6" s="29">
        <v>23.0</v>
      </c>
      <c r="M6" s="41">
        <v>33.0</v>
      </c>
      <c r="N6" s="44">
        <f t="shared" si="2"/>
        <v>66</v>
      </c>
      <c r="O6" s="72">
        <f t="shared" si="3"/>
        <v>0.4035087719</v>
      </c>
      <c r="P6" s="29">
        <v>0.0</v>
      </c>
      <c r="Q6" s="49">
        <v>2.86</v>
      </c>
      <c r="R6" s="51">
        <v>0.895</v>
      </c>
      <c r="S6" s="29" t="s">
        <v>79</v>
      </c>
      <c r="T6" s="53"/>
      <c r="U6" s="55"/>
      <c r="V6" s="57">
        <f t="shared" si="4"/>
        <v>10</v>
      </c>
    </row>
    <row r="7" ht="20.25" customHeight="1">
      <c r="A7" s="25">
        <f t="shared" si="1"/>
        <v>78</v>
      </c>
      <c r="B7" s="41">
        <v>1.0</v>
      </c>
      <c r="C7" s="31" t="s">
        <v>81</v>
      </c>
      <c r="D7" s="34">
        <v>27.6</v>
      </c>
      <c r="E7" s="34" t="s">
        <v>83</v>
      </c>
      <c r="F7" s="37">
        <v>2.0</v>
      </c>
      <c r="G7" s="34">
        <v>69.1</v>
      </c>
      <c r="H7" s="29"/>
      <c r="I7" s="29">
        <v>13.0</v>
      </c>
      <c r="J7" s="39">
        <v>2.0</v>
      </c>
      <c r="K7" s="40">
        <v>55.0</v>
      </c>
      <c r="L7" s="29">
        <v>31.0</v>
      </c>
      <c r="M7" s="41">
        <v>34.0</v>
      </c>
      <c r="N7" s="44">
        <f t="shared" si="2"/>
        <v>74</v>
      </c>
      <c r="O7" s="47">
        <f t="shared" si="3"/>
        <v>0.5636363636</v>
      </c>
      <c r="P7" s="29">
        <v>2.0</v>
      </c>
      <c r="Q7" s="49">
        <v>2.69</v>
      </c>
      <c r="R7" s="51">
        <v>0.908</v>
      </c>
      <c r="S7" s="29" t="s">
        <v>61</v>
      </c>
      <c r="T7" s="53"/>
      <c r="U7" s="55"/>
      <c r="V7" s="57">
        <f t="shared" si="4"/>
        <v>3</v>
      </c>
    </row>
    <row r="8" ht="20.25" customHeight="1">
      <c r="A8" s="25">
        <f t="shared" si="1"/>
        <v>84.875</v>
      </c>
      <c r="B8" s="41">
        <v>1.0</v>
      </c>
      <c r="C8" s="31" t="s">
        <v>75</v>
      </c>
      <c r="D8" s="34">
        <v>29.3</v>
      </c>
      <c r="E8" s="34" t="s">
        <v>76</v>
      </c>
      <c r="F8" s="37">
        <v>2.0</v>
      </c>
      <c r="G8" s="34">
        <v>67.2</v>
      </c>
      <c r="H8" s="29"/>
      <c r="I8" s="29">
        <v>5.0</v>
      </c>
      <c r="J8" s="39">
        <v>2.0</v>
      </c>
      <c r="K8" s="40">
        <v>58.0</v>
      </c>
      <c r="L8" s="29">
        <v>31.0</v>
      </c>
      <c r="M8" s="41">
        <f>O5*K8</f>
        <v>34.4375</v>
      </c>
      <c r="N8" s="44">
        <f t="shared" si="2"/>
        <v>80.875</v>
      </c>
      <c r="O8" s="79">
        <f t="shared" si="3"/>
        <v>0.5344827586</v>
      </c>
      <c r="P8" s="29">
        <v>4.0</v>
      </c>
      <c r="Q8" s="49">
        <v>2.44</v>
      </c>
      <c r="R8" s="51">
        <v>0.912</v>
      </c>
      <c r="S8" s="29" t="s">
        <v>104</v>
      </c>
      <c r="T8" s="53"/>
      <c r="U8" s="55"/>
      <c r="V8" s="57">
        <f t="shared" si="4"/>
        <v>3.4375</v>
      </c>
    </row>
    <row r="9" ht="20.25" customHeight="1">
      <c r="A9" s="81"/>
      <c r="B9" s="82"/>
      <c r="C9" s="84"/>
      <c r="D9" s="85"/>
      <c r="E9" s="85"/>
      <c r="F9" s="86"/>
      <c r="G9" s="85"/>
      <c r="H9" s="82"/>
      <c r="I9" s="82"/>
      <c r="J9" s="87"/>
      <c r="K9" s="82"/>
      <c r="L9" s="82"/>
      <c r="M9" s="88"/>
      <c r="N9" s="88"/>
      <c r="O9" s="88"/>
      <c r="P9" s="82"/>
      <c r="Q9" s="89"/>
      <c r="R9" s="90"/>
      <c r="S9" s="82"/>
      <c r="T9" s="91"/>
      <c r="U9" s="93"/>
      <c r="V9" s="95">
        <f t="shared" si="4"/>
        <v>0</v>
      </c>
      <c r="W9" s="96"/>
      <c r="X9" s="96"/>
      <c r="Y9" s="96"/>
      <c r="Z9" s="96"/>
    </row>
    <row r="10" ht="20.25" customHeight="1">
      <c r="A10" s="25">
        <f t="shared" ref="A10:A14" si="5">F10+J10+N10</f>
        <v>84</v>
      </c>
      <c r="B10" s="29">
        <v>2.0</v>
      </c>
      <c r="C10" s="31" t="s">
        <v>63</v>
      </c>
      <c r="D10" s="34">
        <v>30.9</v>
      </c>
      <c r="E10" s="34" t="s">
        <v>65</v>
      </c>
      <c r="F10" s="37">
        <v>1.0</v>
      </c>
      <c r="G10" s="34">
        <v>50.9</v>
      </c>
      <c r="H10" s="29"/>
      <c r="I10" s="29">
        <v>11.0</v>
      </c>
      <c r="J10" s="39">
        <v>2.0</v>
      </c>
      <c r="K10" s="40">
        <v>55.0</v>
      </c>
      <c r="L10" s="29">
        <v>29.0</v>
      </c>
      <c r="M10" s="41">
        <v>30.0</v>
      </c>
      <c r="N10" s="44">
        <f t="shared" ref="N10:N14" si="6">(M10*2)+(P10*3)</f>
        <v>81</v>
      </c>
      <c r="O10" s="79">
        <f t="shared" ref="O10:O14" si="7">L10/K10</f>
        <v>0.5272727273</v>
      </c>
      <c r="P10" s="29">
        <v>7.0</v>
      </c>
      <c r="Q10" s="49">
        <v>2.68</v>
      </c>
      <c r="R10" s="51">
        <v>0.906</v>
      </c>
      <c r="S10" s="29" t="s">
        <v>61</v>
      </c>
      <c r="T10" s="53"/>
      <c r="U10" s="55"/>
      <c r="V10" s="57">
        <f t="shared" si="4"/>
        <v>1</v>
      </c>
    </row>
    <row r="11" ht="20.25" customHeight="1">
      <c r="A11" s="100">
        <f t="shared" si="5"/>
        <v>69.28571429</v>
      </c>
      <c r="B11" s="101">
        <v>2.0</v>
      </c>
      <c r="C11" s="102" t="s">
        <v>126</v>
      </c>
      <c r="D11" s="103">
        <v>32.9</v>
      </c>
      <c r="E11" s="103" t="s">
        <v>122</v>
      </c>
      <c r="F11" s="104">
        <v>1.0</v>
      </c>
      <c r="G11" s="105">
        <v>57.1</v>
      </c>
      <c r="H11" s="106"/>
      <c r="I11" s="101">
        <v>3.0</v>
      </c>
      <c r="J11" s="108">
        <v>1.0</v>
      </c>
      <c r="K11" s="109">
        <v>49.0</v>
      </c>
      <c r="L11" s="101">
        <v>28.0</v>
      </c>
      <c r="M11" s="110">
        <f>51*O11</f>
        <v>29.14285714</v>
      </c>
      <c r="N11" s="44">
        <f t="shared" si="6"/>
        <v>67.28571429</v>
      </c>
      <c r="O11" s="111">
        <f t="shared" si="7"/>
        <v>0.5714285714</v>
      </c>
      <c r="P11" s="101">
        <v>3.0</v>
      </c>
      <c r="Q11" s="112">
        <v>2.73</v>
      </c>
      <c r="R11" s="113">
        <v>0.891</v>
      </c>
      <c r="S11" s="101" t="s">
        <v>61</v>
      </c>
      <c r="T11" s="114"/>
      <c r="U11" s="114"/>
      <c r="V11" s="57">
        <f t="shared" si="4"/>
        <v>1.142857143</v>
      </c>
      <c r="W11" s="115"/>
      <c r="X11" s="115"/>
      <c r="Y11" s="115"/>
      <c r="Z11" s="115"/>
    </row>
    <row r="12" ht="20.25" customHeight="1">
      <c r="A12" s="116">
        <f t="shared" si="5"/>
        <v>74.42857143</v>
      </c>
      <c r="B12" s="117">
        <v>2.0</v>
      </c>
      <c r="C12" s="118" t="s">
        <v>156</v>
      </c>
      <c r="D12" s="119">
        <v>37.7</v>
      </c>
      <c r="E12" s="119" t="s">
        <v>157</v>
      </c>
      <c r="F12" s="120">
        <v>1.0</v>
      </c>
      <c r="G12" s="121">
        <v>51.9</v>
      </c>
      <c r="H12" s="122"/>
      <c r="I12" s="123">
        <v>6.0</v>
      </c>
      <c r="J12" s="124">
        <v>2.0</v>
      </c>
      <c r="K12" s="125">
        <v>52.0</v>
      </c>
      <c r="L12" s="123">
        <v>27.0</v>
      </c>
      <c r="M12" s="117">
        <f>K12*O11</f>
        <v>29.71428571</v>
      </c>
      <c r="N12" s="44">
        <f t="shared" si="6"/>
        <v>71.42857143</v>
      </c>
      <c r="O12" s="126">
        <f t="shared" si="7"/>
        <v>0.5192307692</v>
      </c>
      <c r="P12" s="123">
        <v>4.0</v>
      </c>
      <c r="Q12" s="127">
        <v>3.07</v>
      </c>
      <c r="R12" s="128">
        <v>0.877</v>
      </c>
      <c r="S12" s="123" t="s">
        <v>167</v>
      </c>
      <c r="T12" s="129"/>
      <c r="U12" s="129"/>
      <c r="V12" s="57">
        <f t="shared" si="4"/>
        <v>2.714285714</v>
      </c>
      <c r="W12" s="115"/>
      <c r="X12" s="115"/>
      <c r="Y12" s="115"/>
      <c r="Z12" s="115"/>
    </row>
    <row r="13" ht="20.25" customHeight="1">
      <c r="A13" s="25">
        <f t="shared" si="5"/>
        <v>65.55555556</v>
      </c>
      <c r="B13" s="41">
        <v>2.0</v>
      </c>
      <c r="C13" s="31" t="s">
        <v>169</v>
      </c>
      <c r="D13" s="34">
        <v>27.9</v>
      </c>
      <c r="E13" s="34" t="s">
        <v>170</v>
      </c>
      <c r="F13" s="37">
        <v>1.0</v>
      </c>
      <c r="G13" s="34">
        <v>55.6</v>
      </c>
      <c r="H13" s="29"/>
      <c r="I13" s="29">
        <v>0.0</v>
      </c>
      <c r="J13" s="39">
        <v>1.0</v>
      </c>
      <c r="K13" s="131">
        <v>18.0</v>
      </c>
      <c r="L13" s="29">
        <v>11.0</v>
      </c>
      <c r="M13" s="41">
        <f>52*O13</f>
        <v>31.77777778</v>
      </c>
      <c r="N13" s="44">
        <f t="shared" si="6"/>
        <v>63.55555556</v>
      </c>
      <c r="O13" s="47">
        <f t="shared" si="7"/>
        <v>0.6111111111</v>
      </c>
      <c r="P13" s="29">
        <v>0.0</v>
      </c>
      <c r="Q13" s="49">
        <v>2.71</v>
      </c>
      <c r="R13" s="51">
        <v>0.891</v>
      </c>
      <c r="S13" s="29" t="s">
        <v>176</v>
      </c>
      <c r="T13" s="53"/>
      <c r="U13" s="55"/>
      <c r="V13" s="57">
        <f t="shared" si="4"/>
        <v>20.77777778</v>
      </c>
    </row>
    <row r="14" ht="20.25" customHeight="1">
      <c r="A14" s="25">
        <f t="shared" si="5"/>
        <v>70</v>
      </c>
      <c r="B14" s="41">
        <v>2.0</v>
      </c>
      <c r="C14" s="31" t="s">
        <v>178</v>
      </c>
      <c r="D14" s="34">
        <v>36.4</v>
      </c>
      <c r="E14" s="34" t="s">
        <v>181</v>
      </c>
      <c r="F14" s="34"/>
      <c r="G14" s="34">
        <v>38.6</v>
      </c>
      <c r="H14" s="29"/>
      <c r="I14" s="29">
        <v>4.0</v>
      </c>
      <c r="J14" s="39">
        <v>1.0</v>
      </c>
      <c r="K14" s="131">
        <v>44.0</v>
      </c>
      <c r="L14" s="29">
        <v>23.0</v>
      </c>
      <c r="M14" s="29">
        <f>0.6*55</f>
        <v>33</v>
      </c>
      <c r="N14" s="44">
        <f t="shared" si="6"/>
        <v>69</v>
      </c>
      <c r="O14" s="79">
        <f t="shared" si="7"/>
        <v>0.5227272727</v>
      </c>
      <c r="P14" s="29">
        <v>1.0</v>
      </c>
      <c r="Q14" s="49">
        <v>3.07</v>
      </c>
      <c r="R14" s="51">
        <v>0.883</v>
      </c>
      <c r="S14" s="29" t="s">
        <v>187</v>
      </c>
      <c r="T14" s="53"/>
      <c r="U14" s="55"/>
      <c r="V14" s="57">
        <f t="shared" si="4"/>
        <v>10</v>
      </c>
    </row>
    <row r="15" ht="20.25" customHeight="1">
      <c r="A15" s="81"/>
      <c r="B15" s="82"/>
      <c r="C15" s="84"/>
      <c r="D15" s="85"/>
      <c r="E15" s="85"/>
      <c r="F15" s="86"/>
      <c r="G15" s="85"/>
      <c r="H15" s="82"/>
      <c r="I15" s="82"/>
      <c r="J15" s="87"/>
      <c r="K15" s="82"/>
      <c r="L15" s="82"/>
      <c r="M15" s="88"/>
      <c r="N15" s="88"/>
      <c r="O15" s="88"/>
      <c r="P15" s="82"/>
      <c r="Q15" s="89"/>
      <c r="R15" s="90"/>
      <c r="S15" s="82"/>
      <c r="T15" s="91"/>
      <c r="U15" s="93"/>
      <c r="V15" s="95">
        <f t="shared" si="4"/>
        <v>0</v>
      </c>
      <c r="W15" s="96"/>
      <c r="X15" s="96"/>
      <c r="Y15" s="96"/>
      <c r="Z15" s="96"/>
    </row>
    <row r="16" ht="20.25" customHeight="1">
      <c r="A16" s="25">
        <f t="shared" ref="A16:A21" si="8">F16+J16+N16</f>
        <v>74.56</v>
      </c>
      <c r="B16" s="41">
        <v>3.0</v>
      </c>
      <c r="C16" s="132" t="s">
        <v>197</v>
      </c>
      <c r="D16" s="34">
        <v>28.0</v>
      </c>
      <c r="E16" s="34" t="s">
        <v>54</v>
      </c>
      <c r="F16" s="37">
        <v>2.0</v>
      </c>
      <c r="G16" s="34">
        <v>60.0</v>
      </c>
      <c r="H16" s="29"/>
      <c r="I16" s="29">
        <v>2.0</v>
      </c>
      <c r="J16" s="39">
        <v>2.0</v>
      </c>
      <c r="K16" s="40">
        <v>50.0</v>
      </c>
      <c r="L16" s="29">
        <v>28.0</v>
      </c>
      <c r="M16" s="41">
        <f>48*0.61</f>
        <v>29.28</v>
      </c>
      <c r="N16" s="44">
        <f t="shared" ref="N16:N21" si="9">(M16*2)+(P16*3)</f>
        <v>70.56</v>
      </c>
      <c r="O16" s="47">
        <f t="shared" ref="O16:O21" si="10">L16/K16</f>
        <v>0.56</v>
      </c>
      <c r="P16" s="29">
        <v>4.0</v>
      </c>
      <c r="Q16" s="49">
        <v>2.67</v>
      </c>
      <c r="R16" s="51">
        <v>0.904</v>
      </c>
      <c r="S16" s="29" t="s">
        <v>205</v>
      </c>
      <c r="T16" s="53"/>
      <c r="U16" s="55"/>
      <c r="V16" s="57">
        <f t="shared" si="4"/>
        <v>1.28</v>
      </c>
    </row>
    <row r="17" ht="20.25" customHeight="1">
      <c r="A17" s="25">
        <f t="shared" si="8"/>
        <v>72.72</v>
      </c>
      <c r="B17" s="29">
        <v>3.0</v>
      </c>
      <c r="C17" s="31" t="s">
        <v>207</v>
      </c>
      <c r="D17" s="34">
        <v>29.5</v>
      </c>
      <c r="E17" s="34" t="s">
        <v>64</v>
      </c>
      <c r="F17" s="37">
        <v>2.0</v>
      </c>
      <c r="G17" s="34">
        <v>64.1</v>
      </c>
      <c r="H17" s="29"/>
      <c r="I17" s="29">
        <v>2.0</v>
      </c>
      <c r="J17" s="39">
        <v>1.0</v>
      </c>
      <c r="K17" s="131">
        <v>39.0</v>
      </c>
      <c r="L17" s="29">
        <v>23.0</v>
      </c>
      <c r="M17" s="29">
        <f>44*0.69</f>
        <v>30.36</v>
      </c>
      <c r="N17" s="44">
        <f t="shared" si="9"/>
        <v>69.72</v>
      </c>
      <c r="O17" s="47">
        <f t="shared" si="10"/>
        <v>0.5897435897</v>
      </c>
      <c r="P17" s="29">
        <v>3.0</v>
      </c>
      <c r="Q17" s="49">
        <v>2.51</v>
      </c>
      <c r="R17" s="51">
        <v>0.904</v>
      </c>
      <c r="S17" s="29" t="s">
        <v>213</v>
      </c>
      <c r="T17" s="53"/>
      <c r="U17" s="55"/>
      <c r="V17" s="57">
        <f t="shared" si="4"/>
        <v>7.36</v>
      </c>
    </row>
    <row r="18" ht="20.25" customHeight="1">
      <c r="A18" s="25">
        <f t="shared" si="8"/>
        <v>70.11111111</v>
      </c>
      <c r="B18" s="41">
        <v>3.0</v>
      </c>
      <c r="C18" s="31" t="s">
        <v>87</v>
      </c>
      <c r="D18" s="34">
        <v>33.8</v>
      </c>
      <c r="E18" s="34" t="s">
        <v>64</v>
      </c>
      <c r="F18" s="37">
        <v>2.0</v>
      </c>
      <c r="G18" s="34">
        <v>68.9</v>
      </c>
      <c r="H18" s="29"/>
      <c r="I18" s="29">
        <v>5.0</v>
      </c>
      <c r="J18" s="39">
        <v>1.0</v>
      </c>
      <c r="K18" s="131">
        <v>45.0</v>
      </c>
      <c r="L18" s="29">
        <v>31.0</v>
      </c>
      <c r="M18" s="29">
        <f>40*O18</f>
        <v>27.55555556</v>
      </c>
      <c r="N18" s="44">
        <f t="shared" si="9"/>
        <v>67.11111111</v>
      </c>
      <c r="O18" s="47">
        <f t="shared" si="10"/>
        <v>0.6888888889</v>
      </c>
      <c r="P18" s="29">
        <v>4.0</v>
      </c>
      <c r="Q18" s="49">
        <v>2.02</v>
      </c>
      <c r="R18" s="51">
        <v>0.921</v>
      </c>
      <c r="S18" s="29" t="s">
        <v>221</v>
      </c>
      <c r="T18" s="53"/>
      <c r="U18" s="55"/>
      <c r="V18" s="57">
        <f t="shared" si="4"/>
        <v>-3.444444444</v>
      </c>
    </row>
    <row r="19" ht="20.25" customHeight="1">
      <c r="A19" s="25">
        <f t="shared" si="8"/>
        <v>62.66666667</v>
      </c>
      <c r="B19" s="41">
        <v>3.0</v>
      </c>
      <c r="C19" s="31" t="s">
        <v>224</v>
      </c>
      <c r="D19" s="34">
        <v>27.0</v>
      </c>
      <c r="E19" s="34" t="s">
        <v>155</v>
      </c>
      <c r="F19" s="34"/>
      <c r="G19" s="34">
        <v>33.3</v>
      </c>
      <c r="H19" s="29"/>
      <c r="I19" s="29">
        <v>0.0</v>
      </c>
      <c r="J19" s="39">
        <v>1.0</v>
      </c>
      <c r="K19" s="131">
        <v>9.0</v>
      </c>
      <c r="L19" s="29">
        <v>6.0</v>
      </c>
      <c r="M19" s="29">
        <f>O19*44</f>
        <v>29.33333333</v>
      </c>
      <c r="N19" s="44">
        <f t="shared" si="9"/>
        <v>61.66666667</v>
      </c>
      <c r="O19" s="47">
        <f t="shared" si="10"/>
        <v>0.6666666667</v>
      </c>
      <c r="P19" s="29">
        <v>1.0</v>
      </c>
      <c r="Q19" s="49">
        <v>2.33</v>
      </c>
      <c r="R19" s="51">
        <v>0.899</v>
      </c>
      <c r="S19" s="29" t="s">
        <v>176</v>
      </c>
      <c r="T19" s="53"/>
      <c r="U19" s="55"/>
      <c r="V19" s="57">
        <f t="shared" si="4"/>
        <v>23.33333333</v>
      </c>
    </row>
    <row r="20" ht="20.25" customHeight="1">
      <c r="A20" s="25">
        <f t="shared" si="8"/>
        <v>61.33333333</v>
      </c>
      <c r="B20" s="41">
        <v>3.0</v>
      </c>
      <c r="C20" s="31" t="s">
        <v>152</v>
      </c>
      <c r="D20" s="34">
        <v>28.0</v>
      </c>
      <c r="E20" s="34" t="s">
        <v>155</v>
      </c>
      <c r="F20" s="37">
        <v>1.0</v>
      </c>
      <c r="G20" s="34">
        <v>56.4</v>
      </c>
      <c r="H20" s="29"/>
      <c r="I20" s="29">
        <v>6.0</v>
      </c>
      <c r="J20" s="39">
        <v>1.0</v>
      </c>
      <c r="K20" s="131">
        <v>39.0</v>
      </c>
      <c r="L20" s="29">
        <v>31.0</v>
      </c>
      <c r="M20" s="29">
        <f>O19*40</f>
        <v>26.66666667</v>
      </c>
      <c r="N20" s="44">
        <f t="shared" si="9"/>
        <v>59.33333333</v>
      </c>
      <c r="O20" s="47">
        <f t="shared" si="10"/>
        <v>0.7948717949</v>
      </c>
      <c r="P20" s="29">
        <v>2.0</v>
      </c>
      <c r="Q20" s="49">
        <v>2.44</v>
      </c>
      <c r="R20" s="51">
        <v>0.895</v>
      </c>
      <c r="S20" s="29" t="s">
        <v>240</v>
      </c>
      <c r="T20" s="53"/>
      <c r="U20" s="55"/>
      <c r="V20" s="57">
        <f t="shared" si="4"/>
        <v>-4.333333333</v>
      </c>
    </row>
    <row r="21" ht="20.25" customHeight="1">
      <c r="A21" s="25">
        <f t="shared" si="8"/>
        <v>63.69767442</v>
      </c>
      <c r="B21" s="41">
        <v>3.0</v>
      </c>
      <c r="C21" s="31" t="s">
        <v>209</v>
      </c>
      <c r="D21" s="34">
        <v>25.1</v>
      </c>
      <c r="E21" s="34" t="s">
        <v>109</v>
      </c>
      <c r="F21" s="37">
        <v>2.0</v>
      </c>
      <c r="G21" s="34">
        <v>62.8</v>
      </c>
      <c r="H21" s="29"/>
      <c r="I21" s="29">
        <v>9.0</v>
      </c>
      <c r="J21" s="39">
        <v>1.0</v>
      </c>
      <c r="K21" s="131">
        <v>43.0</v>
      </c>
      <c r="L21" s="29">
        <v>29.0</v>
      </c>
      <c r="M21" s="29">
        <f>45*O21</f>
        <v>30.34883721</v>
      </c>
      <c r="N21" s="44">
        <f t="shared" si="9"/>
        <v>60.69767442</v>
      </c>
      <c r="O21" s="47">
        <f t="shared" si="10"/>
        <v>0.6744186047</v>
      </c>
      <c r="P21" s="29">
        <v>0.0</v>
      </c>
      <c r="Q21" s="49">
        <v>2.78</v>
      </c>
      <c r="R21" s="51">
        <v>0.901</v>
      </c>
      <c r="S21" s="29" t="s">
        <v>249</v>
      </c>
      <c r="T21" s="53"/>
      <c r="U21" s="55"/>
      <c r="V21" s="57">
        <f t="shared" si="4"/>
        <v>1.348837209</v>
      </c>
    </row>
    <row r="22" ht="20.25" customHeight="1">
      <c r="A22" s="81"/>
      <c r="B22" s="82"/>
      <c r="C22" s="84"/>
      <c r="D22" s="85"/>
      <c r="E22" s="85"/>
      <c r="F22" s="86"/>
      <c r="G22" s="85"/>
      <c r="H22" s="82"/>
      <c r="I22" s="82"/>
      <c r="J22" s="87"/>
      <c r="K22" s="82"/>
      <c r="L22" s="88"/>
      <c r="M22" s="88"/>
      <c r="N22" s="88"/>
      <c r="O22" s="88"/>
      <c r="P22" s="82"/>
      <c r="Q22" s="89"/>
      <c r="R22" s="90"/>
      <c r="S22" s="82"/>
      <c r="T22" s="91"/>
      <c r="U22" s="93"/>
      <c r="V22" s="95">
        <f t="shared" si="4"/>
        <v>0</v>
      </c>
      <c r="W22" s="96"/>
      <c r="X22" s="96"/>
      <c r="Y22" s="96"/>
      <c r="Z22" s="96"/>
    </row>
    <row r="23" ht="20.25" customHeight="1">
      <c r="A23" s="100">
        <f t="shared" ref="A23:A40" si="11">F23+J23+N23</f>
        <v>58</v>
      </c>
      <c r="B23" s="110">
        <v>4.0</v>
      </c>
      <c r="C23" s="102" t="s">
        <v>201</v>
      </c>
      <c r="D23" s="103">
        <v>31.2</v>
      </c>
      <c r="E23" s="103" t="s">
        <v>196</v>
      </c>
      <c r="F23" s="134"/>
      <c r="G23" s="104">
        <v>47.5</v>
      </c>
      <c r="H23" s="106"/>
      <c r="I23" s="101">
        <v>6.0</v>
      </c>
      <c r="J23" s="108">
        <v>2.0</v>
      </c>
      <c r="K23" s="135">
        <v>59.0</v>
      </c>
      <c r="L23" s="101">
        <v>28.0</v>
      </c>
      <c r="M23" s="110">
        <v>28.0</v>
      </c>
      <c r="N23" s="44">
        <f t="shared" ref="N23:N40" si="12">(M23*2)+(P23*3)</f>
        <v>56</v>
      </c>
      <c r="O23" s="136">
        <f t="shared" ref="O23:O40" si="13">L23/K23</f>
        <v>0.4745762712</v>
      </c>
      <c r="P23" s="101">
        <v>0.0</v>
      </c>
      <c r="Q23" s="112">
        <v>3.16</v>
      </c>
      <c r="R23" s="113">
        <v>0.894</v>
      </c>
      <c r="S23" s="101" t="s">
        <v>264</v>
      </c>
      <c r="T23" s="114"/>
      <c r="U23" s="114"/>
      <c r="V23" s="57">
        <f t="shared" si="4"/>
        <v>0</v>
      </c>
      <c r="W23" s="115"/>
      <c r="X23" s="115"/>
      <c r="Y23" s="115"/>
      <c r="Z23" s="115"/>
    </row>
    <row r="24" ht="20.25" customHeight="1">
      <c r="A24" s="100">
        <f t="shared" si="11"/>
        <v>61.08</v>
      </c>
      <c r="B24" s="110">
        <v>4.0</v>
      </c>
      <c r="C24" s="102" t="s">
        <v>236</v>
      </c>
      <c r="D24" s="103">
        <v>30.5</v>
      </c>
      <c r="E24" s="103" t="s">
        <v>88</v>
      </c>
      <c r="F24" s="104">
        <v>2.0</v>
      </c>
      <c r="G24" s="137">
        <v>62.7</v>
      </c>
      <c r="H24" s="106"/>
      <c r="I24" s="101">
        <v>5.0</v>
      </c>
      <c r="J24" s="108">
        <v>2.0</v>
      </c>
      <c r="K24" s="135">
        <v>51.0</v>
      </c>
      <c r="L24" s="101">
        <v>25.0</v>
      </c>
      <c r="M24" s="110">
        <f>52*0.52</f>
        <v>27.04</v>
      </c>
      <c r="N24" s="44">
        <f t="shared" si="12"/>
        <v>57.08</v>
      </c>
      <c r="O24" s="138">
        <f t="shared" si="13"/>
        <v>0.4901960784</v>
      </c>
      <c r="P24" s="101">
        <v>1.0</v>
      </c>
      <c r="Q24" s="112">
        <v>2.5</v>
      </c>
      <c r="R24" s="113">
        <v>0.912</v>
      </c>
      <c r="S24" s="101" t="s">
        <v>270</v>
      </c>
      <c r="T24" s="114"/>
      <c r="U24" s="114"/>
      <c r="V24" s="57">
        <f t="shared" si="4"/>
        <v>2.04</v>
      </c>
      <c r="W24" s="115"/>
      <c r="X24" s="115"/>
      <c r="Y24" s="115"/>
      <c r="Z24" s="115"/>
    </row>
    <row r="25" ht="20.25" customHeight="1">
      <c r="A25" s="25">
        <f t="shared" si="11"/>
        <v>56.12</v>
      </c>
      <c r="B25" s="29">
        <v>4.0</v>
      </c>
      <c r="C25" s="31" t="s">
        <v>274</v>
      </c>
      <c r="D25" s="34">
        <v>24.0</v>
      </c>
      <c r="E25" s="34" t="s">
        <v>275</v>
      </c>
      <c r="F25" s="34"/>
      <c r="G25" s="34">
        <v>40.4</v>
      </c>
      <c r="H25" s="29"/>
      <c r="I25" s="29">
        <v>6.0</v>
      </c>
      <c r="J25" s="39">
        <v>1.0</v>
      </c>
      <c r="K25" s="131">
        <v>47.0</v>
      </c>
      <c r="L25" s="29">
        <v>21.0</v>
      </c>
      <c r="M25" s="29">
        <f>52*0.53</f>
        <v>27.56</v>
      </c>
      <c r="N25" s="44">
        <f t="shared" si="12"/>
        <v>55.12</v>
      </c>
      <c r="O25" s="72">
        <f t="shared" si="13"/>
        <v>0.4468085106</v>
      </c>
      <c r="P25" s="29">
        <v>0.0</v>
      </c>
      <c r="Q25" s="49">
        <v>3.6</v>
      </c>
      <c r="R25" s="51">
        <v>0.884</v>
      </c>
      <c r="S25" s="29" t="s">
        <v>176</v>
      </c>
      <c r="T25" s="53"/>
      <c r="U25" s="55"/>
      <c r="V25" s="57">
        <f t="shared" si="4"/>
        <v>6.56</v>
      </c>
    </row>
    <row r="26" ht="20.25" customHeight="1">
      <c r="A26" s="25">
        <f t="shared" si="11"/>
        <v>58</v>
      </c>
      <c r="B26" s="41">
        <v>4.0</v>
      </c>
      <c r="C26" s="31" t="s">
        <v>191</v>
      </c>
      <c r="D26" s="34">
        <v>26.0</v>
      </c>
      <c r="E26" s="34" t="s">
        <v>192</v>
      </c>
      <c r="F26" s="34"/>
      <c r="G26" s="34">
        <v>50.0</v>
      </c>
      <c r="H26" s="29"/>
      <c r="I26" s="29">
        <v>5.0</v>
      </c>
      <c r="J26" s="39">
        <v>2.0</v>
      </c>
      <c r="K26" s="40">
        <v>56.0</v>
      </c>
      <c r="L26" s="29">
        <v>30.0</v>
      </c>
      <c r="M26" s="41">
        <f>K26*0.5</f>
        <v>28</v>
      </c>
      <c r="N26" s="44">
        <f t="shared" si="12"/>
        <v>56</v>
      </c>
      <c r="O26" s="79">
        <f t="shared" si="13"/>
        <v>0.5357142857</v>
      </c>
      <c r="P26" s="29">
        <v>0.0</v>
      </c>
      <c r="Q26" s="49">
        <v>3.1</v>
      </c>
      <c r="R26" s="51">
        <v>0.888</v>
      </c>
      <c r="S26" s="29" t="s">
        <v>288</v>
      </c>
      <c r="T26" s="53"/>
      <c r="U26" s="55"/>
      <c r="V26" s="57">
        <f t="shared" si="4"/>
        <v>-2</v>
      </c>
    </row>
    <row r="27" ht="20.25" customHeight="1">
      <c r="A27" s="25">
        <f t="shared" si="11"/>
        <v>66.84</v>
      </c>
      <c r="B27" s="41">
        <v>4.0</v>
      </c>
      <c r="C27" s="31" t="s">
        <v>163</v>
      </c>
      <c r="D27" s="34">
        <v>25.2</v>
      </c>
      <c r="E27" s="34" t="s">
        <v>166</v>
      </c>
      <c r="F27" s="37">
        <v>2.0</v>
      </c>
      <c r="G27" s="34">
        <v>63.6</v>
      </c>
      <c r="H27" s="29"/>
      <c r="I27" s="29">
        <v>9.0</v>
      </c>
      <c r="J27" s="39">
        <v>2.0</v>
      </c>
      <c r="K27" s="40">
        <v>55.0</v>
      </c>
      <c r="L27" s="29">
        <v>26.0</v>
      </c>
      <c r="M27" s="41">
        <f>58*0.49</f>
        <v>28.42</v>
      </c>
      <c r="N27" s="44">
        <f t="shared" si="12"/>
        <v>62.84</v>
      </c>
      <c r="O27" s="72">
        <f t="shared" si="13"/>
        <v>0.4727272727</v>
      </c>
      <c r="P27" s="29">
        <v>2.0</v>
      </c>
      <c r="Q27" s="49">
        <v>2.6</v>
      </c>
      <c r="R27" s="51">
        <v>0.908</v>
      </c>
      <c r="S27" s="29" t="s">
        <v>295</v>
      </c>
      <c r="T27" s="53"/>
      <c r="U27" s="55"/>
      <c r="V27" s="57">
        <f t="shared" si="4"/>
        <v>2.42</v>
      </c>
    </row>
    <row r="28" ht="20.25" customHeight="1">
      <c r="A28" s="25">
        <f t="shared" si="11"/>
        <v>53.07692308</v>
      </c>
      <c r="B28" s="41">
        <v>4.0</v>
      </c>
      <c r="C28" s="31" t="s">
        <v>183</v>
      </c>
      <c r="D28" s="34">
        <v>28.8</v>
      </c>
      <c r="E28" s="34" t="s">
        <v>185</v>
      </c>
      <c r="F28" s="37">
        <v>2.0</v>
      </c>
      <c r="G28" s="34">
        <v>71.2</v>
      </c>
      <c r="H28" s="29"/>
      <c r="I28" s="29">
        <v>3.0</v>
      </c>
      <c r="J28" s="39">
        <v>2.0</v>
      </c>
      <c r="K28" s="40">
        <v>52.0</v>
      </c>
      <c r="L28" s="29">
        <v>29.0</v>
      </c>
      <c r="M28" s="29">
        <f>44*O28</f>
        <v>24.53846154</v>
      </c>
      <c r="N28" s="44">
        <f t="shared" si="12"/>
        <v>49.07692308</v>
      </c>
      <c r="O28" s="47">
        <f t="shared" si="13"/>
        <v>0.5576923077</v>
      </c>
      <c r="P28" s="29">
        <v>0.0</v>
      </c>
      <c r="Q28" s="49">
        <v>2.42</v>
      </c>
      <c r="R28" s="51">
        <v>0.906</v>
      </c>
      <c r="S28" s="29" t="s">
        <v>302</v>
      </c>
      <c r="T28" s="53"/>
      <c r="U28" s="55"/>
      <c r="V28" s="57">
        <f t="shared" si="4"/>
        <v>-4.461538462</v>
      </c>
    </row>
    <row r="29" ht="20.25" customHeight="1">
      <c r="A29" s="25">
        <f t="shared" si="11"/>
        <v>63.7</v>
      </c>
      <c r="B29" s="29">
        <v>4.0</v>
      </c>
      <c r="C29" s="31" t="s">
        <v>243</v>
      </c>
      <c r="D29" s="34">
        <v>25.2</v>
      </c>
      <c r="E29" s="34" t="s">
        <v>225</v>
      </c>
      <c r="F29" s="37">
        <v>1.0</v>
      </c>
      <c r="G29" s="34">
        <v>50.9</v>
      </c>
      <c r="H29" s="29"/>
      <c r="I29" s="29">
        <v>9.0</v>
      </c>
      <c r="J29" s="39">
        <v>2.0</v>
      </c>
      <c r="K29" s="40">
        <v>55.0</v>
      </c>
      <c r="L29" s="29">
        <v>19.0</v>
      </c>
      <c r="M29" s="29">
        <f>0.47*K29</f>
        <v>25.85</v>
      </c>
      <c r="N29" s="44">
        <f t="shared" si="12"/>
        <v>60.7</v>
      </c>
      <c r="O29" s="72">
        <f t="shared" si="13"/>
        <v>0.3454545455</v>
      </c>
      <c r="P29" s="29">
        <v>3.0</v>
      </c>
      <c r="Q29" s="49">
        <v>2.82</v>
      </c>
      <c r="R29" s="51">
        <v>0.902</v>
      </c>
      <c r="S29" s="29" t="s">
        <v>308</v>
      </c>
      <c r="T29" s="53"/>
      <c r="U29" s="55"/>
      <c r="V29" s="57">
        <f t="shared" si="4"/>
        <v>6.85</v>
      </c>
    </row>
    <row r="30" ht="20.25" customHeight="1">
      <c r="A30" s="25">
        <f t="shared" si="11"/>
        <v>58.8</v>
      </c>
      <c r="B30" s="41">
        <v>4.0</v>
      </c>
      <c r="C30" s="31" t="s">
        <v>297</v>
      </c>
      <c r="D30" s="34">
        <v>27.3</v>
      </c>
      <c r="E30" s="34" t="s">
        <v>98</v>
      </c>
      <c r="F30" s="37">
        <v>2.0</v>
      </c>
      <c r="G30" s="34">
        <v>62.9</v>
      </c>
      <c r="H30" s="29"/>
      <c r="I30" s="29">
        <v>5.0</v>
      </c>
      <c r="J30" s="39">
        <v>1.0</v>
      </c>
      <c r="K30" s="131">
        <v>35.0</v>
      </c>
      <c r="L30" s="29">
        <v>22.0</v>
      </c>
      <c r="M30" s="29">
        <f t="shared" ref="M30:M31" si="14">42*O30</f>
        <v>26.4</v>
      </c>
      <c r="N30" s="44">
        <f t="shared" si="12"/>
        <v>55.8</v>
      </c>
      <c r="O30" s="47">
        <f t="shared" si="13"/>
        <v>0.6285714286</v>
      </c>
      <c r="P30" s="29">
        <v>1.0</v>
      </c>
      <c r="Q30" s="49">
        <v>2.49</v>
      </c>
      <c r="R30" s="51">
        <v>0.91</v>
      </c>
      <c r="S30" s="29" t="s">
        <v>68</v>
      </c>
      <c r="T30" s="53"/>
      <c r="U30" s="55"/>
      <c r="V30" s="57">
        <f t="shared" si="4"/>
        <v>4.4</v>
      </c>
    </row>
    <row r="31" ht="20.25" customHeight="1">
      <c r="A31" s="25">
        <f t="shared" si="11"/>
        <v>57.66666667</v>
      </c>
      <c r="B31" s="29">
        <v>4.0</v>
      </c>
      <c r="C31" s="31" t="s">
        <v>273</v>
      </c>
      <c r="D31" s="34">
        <v>33.5</v>
      </c>
      <c r="E31" s="34" t="s">
        <v>98</v>
      </c>
      <c r="F31" s="37">
        <v>2.0</v>
      </c>
      <c r="G31" s="34">
        <v>63.9</v>
      </c>
      <c r="H31" s="29"/>
      <c r="I31" s="29">
        <v>6.0</v>
      </c>
      <c r="J31" s="139"/>
      <c r="K31" s="29">
        <v>36.0</v>
      </c>
      <c r="L31" s="29">
        <v>20.0</v>
      </c>
      <c r="M31" s="29">
        <f t="shared" si="14"/>
        <v>23.33333333</v>
      </c>
      <c r="N31" s="44">
        <f t="shared" si="12"/>
        <v>55.66666667</v>
      </c>
      <c r="O31" s="47">
        <f t="shared" si="13"/>
        <v>0.5555555556</v>
      </c>
      <c r="P31" s="29">
        <v>3.0</v>
      </c>
      <c r="Q31" s="49">
        <v>2.74</v>
      </c>
      <c r="R31" s="51">
        <v>0.907</v>
      </c>
      <c r="S31" s="29" t="s">
        <v>221</v>
      </c>
      <c r="T31" s="53"/>
      <c r="U31" s="55"/>
      <c r="V31" s="57">
        <f t="shared" si="4"/>
        <v>3.333333333</v>
      </c>
    </row>
    <row r="32" ht="20.25" customHeight="1">
      <c r="A32" s="25">
        <f t="shared" si="11"/>
        <v>65.91304348</v>
      </c>
      <c r="B32" s="41">
        <v>4.0</v>
      </c>
      <c r="C32" s="31" t="s">
        <v>143</v>
      </c>
      <c r="D32" s="34">
        <v>25.9</v>
      </c>
      <c r="E32" s="34" t="s">
        <v>145</v>
      </c>
      <c r="F32" s="37">
        <v>1.0</v>
      </c>
      <c r="G32" s="34">
        <v>56.5</v>
      </c>
      <c r="H32" s="29"/>
      <c r="I32" s="29">
        <v>8.0</v>
      </c>
      <c r="J32" s="39">
        <v>1.0</v>
      </c>
      <c r="K32" s="131">
        <v>46.0</v>
      </c>
      <c r="L32" s="29">
        <v>24.0</v>
      </c>
      <c r="M32" s="29">
        <f>44*O32</f>
        <v>22.95652174</v>
      </c>
      <c r="N32" s="44">
        <f t="shared" si="12"/>
        <v>63.91304348</v>
      </c>
      <c r="O32" s="79">
        <f t="shared" si="13"/>
        <v>0.5217391304</v>
      </c>
      <c r="P32" s="29">
        <v>6.0</v>
      </c>
      <c r="Q32" s="49">
        <v>2.58</v>
      </c>
      <c r="R32" s="51">
        <v>0.91</v>
      </c>
      <c r="S32" s="29" t="s">
        <v>325</v>
      </c>
      <c r="T32" s="53"/>
      <c r="U32" s="55"/>
      <c r="V32" s="57">
        <f t="shared" si="4"/>
        <v>-1.043478261</v>
      </c>
    </row>
    <row r="33" ht="20.25" customHeight="1">
      <c r="A33" s="25">
        <f t="shared" si="11"/>
        <v>64.6</v>
      </c>
      <c r="B33" s="41">
        <v>4.0</v>
      </c>
      <c r="C33" s="31" t="s">
        <v>111</v>
      </c>
      <c r="D33" s="34">
        <v>32.9</v>
      </c>
      <c r="E33" s="34" t="s">
        <v>114</v>
      </c>
      <c r="F33" s="34"/>
      <c r="G33" s="34">
        <v>47.4</v>
      </c>
      <c r="H33" s="29"/>
      <c r="I33" s="29">
        <v>8.0</v>
      </c>
      <c r="J33" s="39">
        <v>2.0</v>
      </c>
      <c r="K33" s="40">
        <v>57.0</v>
      </c>
      <c r="L33" s="29">
        <v>29.0</v>
      </c>
      <c r="M33" s="41">
        <f>55*0.46</f>
        <v>25.3</v>
      </c>
      <c r="N33" s="44">
        <f t="shared" si="12"/>
        <v>62.6</v>
      </c>
      <c r="O33" s="79">
        <f t="shared" si="13"/>
        <v>0.5087719298</v>
      </c>
      <c r="P33" s="29">
        <v>4.0</v>
      </c>
      <c r="Q33" s="49">
        <v>2.72</v>
      </c>
      <c r="R33" s="51">
        <v>0.901</v>
      </c>
      <c r="S33" s="29" t="s">
        <v>332</v>
      </c>
      <c r="T33" s="53"/>
      <c r="U33" s="55"/>
      <c r="V33" s="57">
        <f t="shared" si="4"/>
        <v>-3.7</v>
      </c>
    </row>
    <row r="34" ht="20.25" customHeight="1">
      <c r="A34" s="25">
        <f t="shared" si="11"/>
        <v>56.76</v>
      </c>
      <c r="B34" s="41">
        <v>4.0</v>
      </c>
      <c r="C34" s="31" t="s">
        <v>260</v>
      </c>
      <c r="D34" s="34">
        <v>25.2</v>
      </c>
      <c r="E34" s="34" t="s">
        <v>262</v>
      </c>
      <c r="F34" s="34"/>
      <c r="G34" s="34">
        <v>49.1</v>
      </c>
      <c r="H34" s="29"/>
      <c r="I34" s="29">
        <v>5.0</v>
      </c>
      <c r="J34" s="39">
        <v>2.0</v>
      </c>
      <c r="K34" s="40">
        <v>57.0</v>
      </c>
      <c r="L34" s="29">
        <v>23.0</v>
      </c>
      <c r="M34" s="41">
        <f>53*0.46</f>
        <v>24.38</v>
      </c>
      <c r="N34" s="44">
        <f t="shared" si="12"/>
        <v>54.76</v>
      </c>
      <c r="O34" s="72">
        <f t="shared" si="13"/>
        <v>0.4035087719</v>
      </c>
      <c r="P34" s="29">
        <v>2.0</v>
      </c>
      <c r="Q34" s="49">
        <v>2.99</v>
      </c>
      <c r="R34" s="51">
        <v>0.899</v>
      </c>
      <c r="S34" s="29" t="s">
        <v>340</v>
      </c>
      <c r="T34" s="53"/>
      <c r="U34" s="55"/>
      <c r="V34" s="57">
        <f t="shared" si="4"/>
        <v>1.38</v>
      </c>
    </row>
    <row r="35" ht="20.25" customHeight="1">
      <c r="A35" s="25">
        <f t="shared" si="11"/>
        <v>61</v>
      </c>
      <c r="B35" s="29">
        <v>4.0</v>
      </c>
      <c r="C35" s="31" t="s">
        <v>218</v>
      </c>
      <c r="D35" s="34">
        <v>36.1</v>
      </c>
      <c r="E35" s="34" t="s">
        <v>219</v>
      </c>
      <c r="F35" s="34"/>
      <c r="G35" s="34">
        <v>48.0</v>
      </c>
      <c r="H35" s="29"/>
      <c r="I35" s="29">
        <v>6.0</v>
      </c>
      <c r="J35" s="39">
        <v>2.0</v>
      </c>
      <c r="K35" s="40">
        <v>50.0</v>
      </c>
      <c r="L35" s="29">
        <v>19.0</v>
      </c>
      <c r="M35" s="41">
        <v>25.0</v>
      </c>
      <c r="N35" s="44">
        <f t="shared" si="12"/>
        <v>59</v>
      </c>
      <c r="O35" s="72">
        <f t="shared" si="13"/>
        <v>0.38</v>
      </c>
      <c r="P35" s="29">
        <v>3.0</v>
      </c>
      <c r="Q35" s="49">
        <v>2.78</v>
      </c>
      <c r="R35" s="51">
        <v>0.891</v>
      </c>
      <c r="S35" s="29" t="s">
        <v>213</v>
      </c>
      <c r="T35" s="53"/>
      <c r="U35" s="55"/>
      <c r="V35" s="57">
        <f t="shared" si="4"/>
        <v>6</v>
      </c>
    </row>
    <row r="36" ht="20.25" customHeight="1">
      <c r="A36" s="25">
        <f t="shared" si="11"/>
        <v>53.95744681</v>
      </c>
      <c r="B36" s="29">
        <v>4.0</v>
      </c>
      <c r="C36" s="31" t="s">
        <v>290</v>
      </c>
      <c r="D36" s="34">
        <v>29.8</v>
      </c>
      <c r="E36" s="34" t="s">
        <v>269</v>
      </c>
      <c r="F36" s="37">
        <v>1.0</v>
      </c>
      <c r="G36" s="34">
        <v>51.1</v>
      </c>
      <c r="H36" s="29"/>
      <c r="I36" s="29">
        <v>7.0</v>
      </c>
      <c r="J36" s="39">
        <v>1.0</v>
      </c>
      <c r="K36" s="131">
        <v>47.0</v>
      </c>
      <c r="L36" s="29">
        <v>20.0</v>
      </c>
      <c r="M36" s="29">
        <f>O36*54</f>
        <v>22.9787234</v>
      </c>
      <c r="N36" s="44">
        <f t="shared" si="12"/>
        <v>51.95744681</v>
      </c>
      <c r="O36" s="72">
        <f t="shared" si="13"/>
        <v>0.4255319149</v>
      </c>
      <c r="P36" s="29">
        <v>2.0</v>
      </c>
      <c r="Q36" s="49">
        <v>2.99</v>
      </c>
      <c r="R36" s="51">
        <v>0.897</v>
      </c>
      <c r="S36" s="29" t="s">
        <v>349</v>
      </c>
      <c r="T36" s="53"/>
      <c r="U36" s="55"/>
      <c r="V36" s="57">
        <f t="shared" si="4"/>
        <v>2.978723404</v>
      </c>
    </row>
    <row r="37" ht="20.25" customHeight="1">
      <c r="A37" s="25">
        <f t="shared" si="11"/>
        <v>61.54545455</v>
      </c>
      <c r="B37" s="29">
        <v>4.0</v>
      </c>
      <c r="C37" s="31" t="s">
        <v>320</v>
      </c>
      <c r="D37" s="34">
        <v>31.1</v>
      </c>
      <c r="E37" s="34" t="s">
        <v>49</v>
      </c>
      <c r="F37" s="34"/>
      <c r="G37" s="34">
        <v>39.4</v>
      </c>
      <c r="H37" s="29"/>
      <c r="I37" s="29">
        <v>1.0</v>
      </c>
      <c r="J37" s="39">
        <v>1.0</v>
      </c>
      <c r="K37" s="131">
        <v>33.0</v>
      </c>
      <c r="L37" s="29">
        <v>18.0</v>
      </c>
      <c r="M37" s="29">
        <f t="shared" ref="M37:M39" si="15">50*O37</f>
        <v>27.27272727</v>
      </c>
      <c r="N37" s="44">
        <f t="shared" si="12"/>
        <v>60.54545455</v>
      </c>
      <c r="O37" s="47">
        <f t="shared" si="13"/>
        <v>0.5454545455</v>
      </c>
      <c r="P37" s="29">
        <v>2.0</v>
      </c>
      <c r="Q37" s="49">
        <v>3.32</v>
      </c>
      <c r="R37" s="51">
        <v>0.882</v>
      </c>
      <c r="S37" s="29" t="s">
        <v>355</v>
      </c>
      <c r="T37" s="53"/>
      <c r="U37" s="55"/>
      <c r="V37" s="57">
        <f t="shared" si="4"/>
        <v>9.272727273</v>
      </c>
    </row>
    <row r="38" ht="20.25" customHeight="1">
      <c r="A38" s="25">
        <f t="shared" si="11"/>
        <v>55.71794872</v>
      </c>
      <c r="B38" s="29">
        <v>4.0</v>
      </c>
      <c r="C38" s="31" t="s">
        <v>280</v>
      </c>
      <c r="D38" s="34">
        <v>25.2</v>
      </c>
      <c r="E38" s="34" t="s">
        <v>228</v>
      </c>
      <c r="F38" s="34"/>
      <c r="G38" s="34">
        <v>48.7</v>
      </c>
      <c r="H38" s="29"/>
      <c r="I38" s="29">
        <v>0.0</v>
      </c>
      <c r="J38" s="39">
        <v>1.0</v>
      </c>
      <c r="K38" s="131">
        <v>39.0</v>
      </c>
      <c r="L38" s="29">
        <v>19.0</v>
      </c>
      <c r="M38" s="29">
        <f t="shared" si="15"/>
        <v>24.35897436</v>
      </c>
      <c r="N38" s="44">
        <f t="shared" si="12"/>
        <v>54.71794872</v>
      </c>
      <c r="O38" s="72">
        <f t="shared" si="13"/>
        <v>0.4871794872</v>
      </c>
      <c r="P38" s="29">
        <v>2.0</v>
      </c>
      <c r="Q38" s="49">
        <v>3.04</v>
      </c>
      <c r="R38" s="51">
        <v>0.888</v>
      </c>
      <c r="S38" s="29" t="s">
        <v>340</v>
      </c>
      <c r="T38" s="53"/>
      <c r="U38" s="55"/>
      <c r="V38" s="57">
        <f t="shared" si="4"/>
        <v>5.358974359</v>
      </c>
    </row>
    <row r="39" ht="20.25" customHeight="1">
      <c r="A39" s="25">
        <f t="shared" si="11"/>
        <v>50.94594595</v>
      </c>
      <c r="B39" s="29">
        <v>4.0</v>
      </c>
      <c r="C39" s="31" t="s">
        <v>361</v>
      </c>
      <c r="D39" s="34">
        <v>35.9</v>
      </c>
      <c r="E39" s="34" t="s">
        <v>363</v>
      </c>
      <c r="F39" s="37">
        <v>1.0</v>
      </c>
      <c r="G39" s="34">
        <v>54.1</v>
      </c>
      <c r="H39" s="29"/>
      <c r="I39" s="29">
        <v>5.0</v>
      </c>
      <c r="J39" s="39">
        <v>1.0</v>
      </c>
      <c r="K39" s="131">
        <v>37.0</v>
      </c>
      <c r="L39" s="29">
        <v>17.0</v>
      </c>
      <c r="M39" s="29">
        <f t="shared" si="15"/>
        <v>22.97297297</v>
      </c>
      <c r="N39" s="44">
        <f t="shared" si="12"/>
        <v>48.94594595</v>
      </c>
      <c r="O39" s="72">
        <f t="shared" si="13"/>
        <v>0.4594594595</v>
      </c>
      <c r="P39" s="29">
        <v>1.0</v>
      </c>
      <c r="Q39" s="49">
        <v>2.72</v>
      </c>
      <c r="R39" s="51">
        <v>0.904</v>
      </c>
      <c r="S39" s="29" t="s">
        <v>366</v>
      </c>
      <c r="T39" s="53"/>
      <c r="U39" s="55"/>
      <c r="V39" s="57">
        <f t="shared" si="4"/>
        <v>5.972972973</v>
      </c>
    </row>
    <row r="40" ht="20.25" customHeight="1">
      <c r="A40" s="25">
        <f t="shared" si="11"/>
        <v>40.6</v>
      </c>
      <c r="B40" s="29">
        <v>5.0</v>
      </c>
      <c r="C40" s="31" t="s">
        <v>367</v>
      </c>
      <c r="D40" s="34">
        <v>30.5</v>
      </c>
      <c r="E40" s="34" t="s">
        <v>261</v>
      </c>
      <c r="F40" s="34"/>
      <c r="G40" s="34">
        <v>50.0</v>
      </c>
      <c r="H40" s="29"/>
      <c r="I40" s="29">
        <v>2.0</v>
      </c>
      <c r="J40" s="139"/>
      <c r="K40" s="29">
        <v>20.0</v>
      </c>
      <c r="L40" s="29">
        <v>8.0</v>
      </c>
      <c r="M40" s="29">
        <f>47*O40</f>
        <v>18.8</v>
      </c>
      <c r="N40" s="44">
        <f t="shared" si="12"/>
        <v>40.6</v>
      </c>
      <c r="O40" s="143">
        <f t="shared" si="13"/>
        <v>0.4</v>
      </c>
      <c r="P40" s="29">
        <v>1.0</v>
      </c>
      <c r="Q40" s="49">
        <v>2.85</v>
      </c>
      <c r="R40" s="51">
        <v>0.897</v>
      </c>
      <c r="S40" s="29" t="s">
        <v>349</v>
      </c>
      <c r="T40" s="53"/>
      <c r="U40" s="55"/>
      <c r="V40" s="57">
        <f t="shared" si="4"/>
        <v>10.8</v>
      </c>
    </row>
    <row r="41" ht="20.25" customHeight="1">
      <c r="A41" s="81"/>
      <c r="B41" s="82"/>
      <c r="C41" s="84"/>
      <c r="D41" s="85"/>
      <c r="E41" s="85"/>
      <c r="F41" s="85"/>
      <c r="G41" s="85"/>
      <c r="H41" s="82"/>
      <c r="I41" s="82"/>
      <c r="J41" s="87"/>
      <c r="K41" s="82"/>
      <c r="L41" s="82"/>
      <c r="M41" s="82"/>
      <c r="N41" s="88"/>
      <c r="O41" s="88"/>
      <c r="P41" s="82"/>
      <c r="Q41" s="89"/>
      <c r="R41" s="90"/>
      <c r="S41" s="82"/>
      <c r="T41" s="91"/>
      <c r="U41" s="93"/>
      <c r="V41" s="57">
        <f t="shared" si="4"/>
        <v>0</v>
      </c>
      <c r="W41" s="96"/>
      <c r="X41" s="96"/>
      <c r="Y41" s="96"/>
      <c r="Z41" s="96"/>
    </row>
    <row r="42" ht="20.25" customHeight="1">
      <c r="A42" s="25">
        <f t="shared" ref="A42:A57" si="16">F42+J42+N42</f>
        <v>55.04</v>
      </c>
      <c r="B42" s="41">
        <v>5.0</v>
      </c>
      <c r="C42" s="144" t="s">
        <v>379</v>
      </c>
      <c r="D42" s="34">
        <v>23.6</v>
      </c>
      <c r="E42" s="34" t="s">
        <v>54</v>
      </c>
      <c r="F42" s="37">
        <v>2.0</v>
      </c>
      <c r="G42" s="34">
        <v>68.6</v>
      </c>
      <c r="H42" s="29"/>
      <c r="I42" s="29">
        <v>8.0</v>
      </c>
      <c r="J42" s="139"/>
      <c r="K42" s="29">
        <v>35.0</v>
      </c>
      <c r="L42" s="29">
        <v>18.0</v>
      </c>
      <c r="M42" s="29">
        <f>36*0.57</f>
        <v>20.52</v>
      </c>
      <c r="N42" s="44">
        <f t="shared" ref="N42:N57" si="17">(M42*2)+(P42*3)</f>
        <v>53.04</v>
      </c>
      <c r="O42" s="79">
        <f t="shared" ref="O42:O57" si="18">L42/K42</f>
        <v>0.5142857143</v>
      </c>
      <c r="P42" s="29">
        <v>4.0</v>
      </c>
      <c r="Q42" s="49">
        <v>2.58</v>
      </c>
      <c r="R42" s="51">
        <v>0.916</v>
      </c>
      <c r="S42" s="29" t="s">
        <v>385</v>
      </c>
      <c r="T42" s="53"/>
      <c r="U42" s="55"/>
      <c r="V42" s="57">
        <f t="shared" si="4"/>
        <v>2.52</v>
      </c>
    </row>
    <row r="43" ht="20.25" customHeight="1">
      <c r="A43" s="25">
        <f t="shared" si="16"/>
        <v>48</v>
      </c>
      <c r="B43" s="41">
        <v>5.0</v>
      </c>
      <c r="C43" s="31" t="s">
        <v>335</v>
      </c>
      <c r="D43" s="34">
        <v>27.9</v>
      </c>
      <c r="E43" s="34" t="s">
        <v>185</v>
      </c>
      <c r="F43" s="37">
        <v>1.0</v>
      </c>
      <c r="G43" s="34">
        <v>59.0</v>
      </c>
      <c r="H43" s="29"/>
      <c r="I43" s="29">
        <v>2.0</v>
      </c>
      <c r="J43" s="39">
        <v>1.0</v>
      </c>
      <c r="K43" s="131">
        <v>39.0</v>
      </c>
      <c r="L43" s="29">
        <v>15.0</v>
      </c>
      <c r="M43" s="29">
        <f>40*0.5</f>
        <v>20</v>
      </c>
      <c r="N43" s="44">
        <f t="shared" si="17"/>
        <v>46</v>
      </c>
      <c r="O43" s="72">
        <f t="shared" si="18"/>
        <v>0.3846153846</v>
      </c>
      <c r="P43" s="29">
        <v>2.0</v>
      </c>
      <c r="Q43" s="49">
        <v>3.31</v>
      </c>
      <c r="R43" s="51">
        <v>0.899</v>
      </c>
      <c r="S43" s="29" t="s">
        <v>392</v>
      </c>
      <c r="T43" s="53"/>
      <c r="U43" s="55"/>
      <c r="V43" s="57">
        <f t="shared" si="4"/>
        <v>5</v>
      </c>
    </row>
    <row r="44" ht="20.25" customHeight="1">
      <c r="A44" s="25">
        <f t="shared" si="16"/>
        <v>37</v>
      </c>
      <c r="B44" s="41">
        <v>5.0</v>
      </c>
      <c r="C44" s="31" t="s">
        <v>356</v>
      </c>
      <c r="D44" s="34">
        <v>34.9</v>
      </c>
      <c r="E44" s="34" t="s">
        <v>43</v>
      </c>
      <c r="F44" s="37">
        <v>1.0</v>
      </c>
      <c r="G44" s="34">
        <v>56.7</v>
      </c>
      <c r="H44" s="29"/>
      <c r="I44" s="29">
        <v>2.0</v>
      </c>
      <c r="J44" s="39">
        <v>1.0</v>
      </c>
      <c r="K44" s="131">
        <v>30.0</v>
      </c>
      <c r="L44" s="29">
        <v>15.0</v>
      </c>
      <c r="M44" s="41">
        <v>16.0</v>
      </c>
      <c r="N44" s="44">
        <f t="shared" si="17"/>
        <v>35</v>
      </c>
      <c r="O44" s="79">
        <f t="shared" si="18"/>
        <v>0.5</v>
      </c>
      <c r="P44" s="29">
        <v>1.0</v>
      </c>
      <c r="Q44" s="49">
        <v>2.43</v>
      </c>
      <c r="R44" s="51">
        <v>0.907</v>
      </c>
      <c r="S44" s="29" t="s">
        <v>397</v>
      </c>
      <c r="T44" s="53"/>
      <c r="U44" s="55"/>
      <c r="V44" s="57">
        <f t="shared" si="4"/>
        <v>1</v>
      </c>
    </row>
    <row r="45" ht="20.25" customHeight="1">
      <c r="A45" s="25">
        <f t="shared" si="16"/>
        <v>42.36</v>
      </c>
      <c r="B45" s="29">
        <v>4.0</v>
      </c>
      <c r="C45" s="144" t="s">
        <v>327</v>
      </c>
      <c r="D45" s="34">
        <v>26.1</v>
      </c>
      <c r="E45" s="34" t="s">
        <v>181</v>
      </c>
      <c r="F45" s="34"/>
      <c r="G45" s="34">
        <v>41.2</v>
      </c>
      <c r="H45" s="29"/>
      <c r="I45" s="29">
        <v>2.0</v>
      </c>
      <c r="J45" s="39">
        <v>1.0</v>
      </c>
      <c r="K45" s="131">
        <v>34.0</v>
      </c>
      <c r="L45" s="29">
        <v>16.0</v>
      </c>
      <c r="M45" s="29">
        <f>K45*0.52</f>
        <v>17.68</v>
      </c>
      <c r="N45" s="44">
        <f t="shared" si="17"/>
        <v>41.36</v>
      </c>
      <c r="O45" s="72">
        <f t="shared" si="18"/>
        <v>0.4705882353</v>
      </c>
      <c r="P45" s="29">
        <v>2.0</v>
      </c>
      <c r="Q45" s="49">
        <v>2.59</v>
      </c>
      <c r="R45" s="51">
        <v>0.893</v>
      </c>
      <c r="S45" s="29" t="s">
        <v>402</v>
      </c>
      <c r="T45" s="53"/>
      <c r="U45" s="55"/>
      <c r="V45" s="57">
        <f t="shared" si="4"/>
        <v>1.68</v>
      </c>
    </row>
    <row r="46" ht="20.25" customHeight="1">
      <c r="A46" s="25">
        <f t="shared" si="16"/>
        <v>45.29411765</v>
      </c>
      <c r="B46" s="29">
        <v>5.0</v>
      </c>
      <c r="C46" s="31" t="s">
        <v>405</v>
      </c>
      <c r="D46" s="34">
        <v>21.6</v>
      </c>
      <c r="E46" s="34" t="s">
        <v>109</v>
      </c>
      <c r="F46" s="37">
        <v>1.0</v>
      </c>
      <c r="G46" s="34">
        <v>58.8</v>
      </c>
      <c r="H46" s="29"/>
      <c r="I46" s="29">
        <v>3.0</v>
      </c>
      <c r="J46" s="139"/>
      <c r="K46" s="29">
        <v>17.0</v>
      </c>
      <c r="L46" s="29">
        <v>9.0</v>
      </c>
      <c r="M46" s="29">
        <f>39*O46</f>
        <v>20.64705882</v>
      </c>
      <c r="N46" s="44">
        <f t="shared" si="17"/>
        <v>44.29411765</v>
      </c>
      <c r="O46" s="79">
        <f t="shared" si="18"/>
        <v>0.5294117647</v>
      </c>
      <c r="P46" s="29">
        <v>1.0</v>
      </c>
      <c r="Q46" s="49">
        <v>2.43</v>
      </c>
      <c r="R46" s="51">
        <v>0.908</v>
      </c>
      <c r="S46" s="29" t="s">
        <v>410</v>
      </c>
      <c r="T46" s="53"/>
      <c r="U46" s="55"/>
      <c r="V46" s="57">
        <f t="shared" si="4"/>
        <v>11.64705882</v>
      </c>
    </row>
    <row r="47" ht="20.25" customHeight="1">
      <c r="A47" s="25">
        <f t="shared" si="16"/>
        <v>35</v>
      </c>
      <c r="B47" s="41">
        <v>5.0</v>
      </c>
      <c r="C47" s="144" t="s">
        <v>383</v>
      </c>
      <c r="D47" s="34">
        <v>36.7</v>
      </c>
      <c r="E47" s="34" t="s">
        <v>49</v>
      </c>
      <c r="F47" s="34"/>
      <c r="G47" s="34">
        <v>31.4</v>
      </c>
      <c r="H47" s="29"/>
      <c r="I47" s="29">
        <v>1.0</v>
      </c>
      <c r="J47" s="39">
        <v>1.0</v>
      </c>
      <c r="K47" s="131">
        <v>35.0</v>
      </c>
      <c r="L47" s="29">
        <v>16.0</v>
      </c>
      <c r="M47" s="29">
        <f>34*0.5</f>
        <v>17</v>
      </c>
      <c r="N47" s="44">
        <f t="shared" si="17"/>
        <v>34</v>
      </c>
      <c r="O47" s="143">
        <f t="shared" si="18"/>
        <v>0.4571428571</v>
      </c>
      <c r="P47" s="29">
        <v>0.0</v>
      </c>
      <c r="Q47" s="49">
        <v>3.05</v>
      </c>
      <c r="R47" s="51">
        <v>0.874</v>
      </c>
      <c r="S47" s="29" t="s">
        <v>419</v>
      </c>
      <c r="T47" s="53"/>
      <c r="U47" s="55"/>
      <c r="V47" s="57">
        <f t="shared" si="4"/>
        <v>1</v>
      </c>
    </row>
    <row r="48" ht="20.25" customHeight="1">
      <c r="A48" s="25">
        <f t="shared" si="16"/>
        <v>40</v>
      </c>
      <c r="B48" s="29">
        <v>5.0</v>
      </c>
      <c r="C48" s="144" t="s">
        <v>389</v>
      </c>
      <c r="D48" s="34">
        <v>32.9</v>
      </c>
      <c r="E48" s="34" t="s">
        <v>145</v>
      </c>
      <c r="F48" s="34"/>
      <c r="G48" s="34">
        <v>41.5</v>
      </c>
      <c r="H48" s="29"/>
      <c r="I48" s="29">
        <v>4.0</v>
      </c>
      <c r="J48" s="39">
        <v>1.0</v>
      </c>
      <c r="K48" s="131">
        <v>41.0</v>
      </c>
      <c r="L48" s="29">
        <v>13.0</v>
      </c>
      <c r="M48" s="29">
        <f>40*0.45</f>
        <v>18</v>
      </c>
      <c r="N48" s="44">
        <f t="shared" si="17"/>
        <v>39</v>
      </c>
      <c r="O48" s="72">
        <f t="shared" si="18"/>
        <v>0.3170731707</v>
      </c>
      <c r="P48" s="29">
        <v>1.0</v>
      </c>
      <c r="Q48" s="49">
        <v>3.33</v>
      </c>
      <c r="R48" s="51">
        <v>0.873</v>
      </c>
      <c r="S48" s="29" t="s">
        <v>187</v>
      </c>
      <c r="T48" s="53"/>
      <c r="U48" s="55"/>
      <c r="V48" s="57">
        <f t="shared" si="4"/>
        <v>5</v>
      </c>
    </row>
    <row r="49" ht="20.25" customHeight="1">
      <c r="A49" s="25">
        <f t="shared" si="16"/>
        <v>45.56</v>
      </c>
      <c r="B49" s="29">
        <v>4.0</v>
      </c>
      <c r="C49" s="31" t="s">
        <v>315</v>
      </c>
      <c r="D49" s="34">
        <v>33.6</v>
      </c>
      <c r="E49" s="34" t="s">
        <v>219</v>
      </c>
      <c r="F49" s="37">
        <v>1.0</v>
      </c>
      <c r="G49" s="34">
        <v>58.3</v>
      </c>
      <c r="H49" s="29"/>
      <c r="I49" s="29">
        <v>5.0</v>
      </c>
      <c r="J49" s="39">
        <v>1.0</v>
      </c>
      <c r="K49" s="131">
        <v>36.0</v>
      </c>
      <c r="L49" s="29">
        <v>16.0</v>
      </c>
      <c r="M49" s="29">
        <f>K49*0.48</f>
        <v>17.28</v>
      </c>
      <c r="N49" s="44">
        <f t="shared" si="17"/>
        <v>43.56</v>
      </c>
      <c r="O49" s="72">
        <f t="shared" si="18"/>
        <v>0.4444444444</v>
      </c>
      <c r="P49" s="29">
        <v>3.0</v>
      </c>
      <c r="Q49" s="49">
        <v>2.54</v>
      </c>
      <c r="R49" s="51">
        <v>0.91</v>
      </c>
      <c r="S49" s="29" t="s">
        <v>429</v>
      </c>
      <c r="T49" s="53"/>
      <c r="U49" s="55"/>
      <c r="V49" s="57">
        <f t="shared" si="4"/>
        <v>1.28</v>
      </c>
    </row>
    <row r="50" ht="20.25" customHeight="1">
      <c r="A50" s="25">
        <f t="shared" si="16"/>
        <v>41.36</v>
      </c>
      <c r="B50" s="29">
        <v>5.0</v>
      </c>
      <c r="C50" s="31" t="s">
        <v>430</v>
      </c>
      <c r="D50" s="34">
        <v>32.4</v>
      </c>
      <c r="E50" s="34" t="s">
        <v>157</v>
      </c>
      <c r="F50" s="34"/>
      <c r="G50" s="34">
        <v>38.5</v>
      </c>
      <c r="H50" s="29"/>
      <c r="I50" s="29">
        <v>1.0</v>
      </c>
      <c r="J50" s="139"/>
      <c r="K50" s="131">
        <v>26.0</v>
      </c>
      <c r="L50" s="29">
        <v>10.0</v>
      </c>
      <c r="M50" s="29">
        <f>44*0.47</f>
        <v>20.68</v>
      </c>
      <c r="N50" s="44">
        <f t="shared" si="17"/>
        <v>41.36</v>
      </c>
      <c r="O50" s="143">
        <f t="shared" si="18"/>
        <v>0.3846153846</v>
      </c>
      <c r="P50" s="29">
        <v>0.0</v>
      </c>
      <c r="Q50" s="49">
        <v>3.28</v>
      </c>
      <c r="R50" s="51">
        <v>0.893</v>
      </c>
      <c r="S50" s="29" t="s">
        <v>436</v>
      </c>
      <c r="T50" s="53"/>
      <c r="U50" s="55"/>
      <c r="V50" s="57">
        <f t="shared" si="4"/>
        <v>10.68</v>
      </c>
    </row>
    <row r="51" ht="20.25" customHeight="1">
      <c r="A51" s="25">
        <f t="shared" si="16"/>
        <v>36</v>
      </c>
      <c r="B51" s="29">
        <v>5.0</v>
      </c>
      <c r="C51" s="31" t="s">
        <v>376</v>
      </c>
      <c r="D51" s="34">
        <v>33.8</v>
      </c>
      <c r="E51" s="34" t="s">
        <v>363</v>
      </c>
      <c r="F51" s="37">
        <v>1.0</v>
      </c>
      <c r="G51" s="34">
        <v>53.3</v>
      </c>
      <c r="H51" s="29"/>
      <c r="I51" s="29">
        <v>5.0</v>
      </c>
      <c r="J51" s="39">
        <v>1.0</v>
      </c>
      <c r="K51" s="131">
        <v>30.0</v>
      </c>
      <c r="L51" s="29">
        <v>14.0</v>
      </c>
      <c r="M51" s="41">
        <v>14.0</v>
      </c>
      <c r="N51" s="44">
        <f t="shared" si="17"/>
        <v>34</v>
      </c>
      <c r="O51" s="143">
        <f t="shared" si="18"/>
        <v>0.4666666667</v>
      </c>
      <c r="P51" s="29">
        <v>2.0</v>
      </c>
      <c r="Q51" s="49">
        <v>2.76</v>
      </c>
      <c r="R51" s="51">
        <v>0.894</v>
      </c>
      <c r="S51" s="29" t="s">
        <v>397</v>
      </c>
      <c r="T51" s="53"/>
      <c r="U51" s="55"/>
      <c r="V51" s="57">
        <f t="shared" si="4"/>
        <v>0</v>
      </c>
    </row>
    <row r="52" ht="20.25" customHeight="1">
      <c r="A52" s="25">
        <f t="shared" si="16"/>
        <v>33.44</v>
      </c>
      <c r="B52" s="29">
        <v>5.0</v>
      </c>
      <c r="C52" s="31" t="s">
        <v>371</v>
      </c>
      <c r="D52" s="34">
        <v>32.1</v>
      </c>
      <c r="E52" s="34" t="s">
        <v>88</v>
      </c>
      <c r="F52" s="34"/>
      <c r="G52" s="34">
        <v>41.9</v>
      </c>
      <c r="H52" s="29"/>
      <c r="I52" s="29">
        <v>3.0</v>
      </c>
      <c r="J52" s="39">
        <v>1.0</v>
      </c>
      <c r="K52" s="131">
        <v>31.0</v>
      </c>
      <c r="L52" s="29">
        <v>14.0</v>
      </c>
      <c r="M52" s="29">
        <f>32*0.46</f>
        <v>14.72</v>
      </c>
      <c r="N52" s="44">
        <f t="shared" si="17"/>
        <v>32.44</v>
      </c>
      <c r="O52" s="143">
        <f t="shared" si="18"/>
        <v>0.4516129032</v>
      </c>
      <c r="P52" s="29">
        <v>1.0</v>
      </c>
      <c r="Q52" s="49">
        <v>3.15</v>
      </c>
      <c r="R52" s="51">
        <v>0.894</v>
      </c>
      <c r="S52" s="29" t="s">
        <v>445</v>
      </c>
      <c r="T52" s="53"/>
      <c r="U52" s="55"/>
      <c r="V52" s="57">
        <f t="shared" si="4"/>
        <v>0.72</v>
      </c>
    </row>
    <row r="53" ht="20.25" customHeight="1">
      <c r="A53" s="25">
        <f t="shared" si="16"/>
        <v>30.2</v>
      </c>
      <c r="B53" s="29">
        <v>6.0</v>
      </c>
      <c r="C53" s="31" t="s">
        <v>446</v>
      </c>
      <c r="D53" s="34">
        <v>22.2</v>
      </c>
      <c r="E53" s="34" t="s">
        <v>228</v>
      </c>
      <c r="F53" s="34"/>
      <c r="G53" s="34">
        <v>20.0</v>
      </c>
      <c r="H53" s="29"/>
      <c r="I53" s="29">
        <v>0.0</v>
      </c>
      <c r="J53" s="139"/>
      <c r="K53" s="29">
        <v>5.0</v>
      </c>
      <c r="L53" s="29">
        <v>1.0</v>
      </c>
      <c r="M53" s="29">
        <f>34*0.4</f>
        <v>13.6</v>
      </c>
      <c r="N53" s="44">
        <f t="shared" si="17"/>
        <v>30.2</v>
      </c>
      <c r="O53" s="143">
        <f t="shared" si="18"/>
        <v>0.2</v>
      </c>
      <c r="P53" s="29">
        <v>1.0</v>
      </c>
      <c r="Q53" s="49">
        <v>2.56</v>
      </c>
      <c r="R53" s="51">
        <v>0.897</v>
      </c>
      <c r="S53" s="29" t="s">
        <v>450</v>
      </c>
      <c r="T53" s="53"/>
      <c r="U53" s="55"/>
      <c r="V53" s="57">
        <f t="shared" si="4"/>
        <v>12.6</v>
      </c>
    </row>
    <row r="54" ht="20.25" customHeight="1">
      <c r="A54" s="25">
        <f t="shared" si="16"/>
        <v>32</v>
      </c>
      <c r="B54" s="29">
        <v>5.0</v>
      </c>
      <c r="C54" s="31" t="s">
        <v>396</v>
      </c>
      <c r="D54" s="34">
        <v>32.2</v>
      </c>
      <c r="E54" s="34" t="s">
        <v>166</v>
      </c>
      <c r="F54" s="34"/>
      <c r="G54" s="34">
        <v>43.3</v>
      </c>
      <c r="H54" s="29"/>
      <c r="I54" s="29">
        <v>1.0</v>
      </c>
      <c r="J54" s="39">
        <v>1.0</v>
      </c>
      <c r="K54" s="131">
        <v>30.0</v>
      </c>
      <c r="L54" s="29">
        <v>14.0</v>
      </c>
      <c r="M54" s="41">
        <v>14.0</v>
      </c>
      <c r="N54" s="44">
        <f t="shared" si="17"/>
        <v>31</v>
      </c>
      <c r="O54" s="143">
        <f t="shared" si="18"/>
        <v>0.4666666667</v>
      </c>
      <c r="P54" s="29">
        <v>1.0</v>
      </c>
      <c r="Q54" s="49">
        <v>3.4</v>
      </c>
      <c r="R54" s="51">
        <v>0.883</v>
      </c>
      <c r="S54" s="29" t="s">
        <v>456</v>
      </c>
      <c r="T54" s="53"/>
      <c r="U54" s="55"/>
      <c r="V54" s="57">
        <f t="shared" si="4"/>
        <v>0</v>
      </c>
    </row>
    <row r="55" ht="20.25" customHeight="1">
      <c r="A55" s="25">
        <f t="shared" si="16"/>
        <v>29</v>
      </c>
      <c r="B55" s="29">
        <v>5.0</v>
      </c>
      <c r="C55" s="31" t="s">
        <v>406</v>
      </c>
      <c r="D55" s="34">
        <v>26.7</v>
      </c>
      <c r="E55" s="34" t="s">
        <v>122</v>
      </c>
      <c r="F55" s="34"/>
      <c r="G55" s="34">
        <v>36.4</v>
      </c>
      <c r="H55" s="29"/>
      <c r="I55" s="29">
        <v>2.0</v>
      </c>
      <c r="J55" s="39">
        <v>1.0</v>
      </c>
      <c r="K55" s="131">
        <v>33.0</v>
      </c>
      <c r="L55" s="29">
        <v>14.0</v>
      </c>
      <c r="M55" s="41">
        <v>14.0</v>
      </c>
      <c r="N55" s="44">
        <f t="shared" si="17"/>
        <v>28</v>
      </c>
      <c r="O55" s="143">
        <f t="shared" si="18"/>
        <v>0.4242424242</v>
      </c>
      <c r="P55" s="29">
        <v>0.0</v>
      </c>
      <c r="Q55" s="49">
        <v>3.12</v>
      </c>
      <c r="R55" s="51">
        <v>0.87</v>
      </c>
      <c r="S55" s="29" t="s">
        <v>459</v>
      </c>
      <c r="T55" s="53"/>
      <c r="U55" s="55"/>
      <c r="V55" s="57">
        <f t="shared" si="4"/>
        <v>0</v>
      </c>
    </row>
    <row r="56" ht="20.25" customHeight="1">
      <c r="A56" s="25">
        <f t="shared" si="16"/>
        <v>28</v>
      </c>
      <c r="B56" s="29">
        <v>5.0</v>
      </c>
      <c r="C56" s="144" t="s">
        <v>415</v>
      </c>
      <c r="D56" s="34">
        <v>34.6</v>
      </c>
      <c r="E56" s="34" t="s">
        <v>269</v>
      </c>
      <c r="F56" s="37">
        <v>1.0</v>
      </c>
      <c r="G56" s="34">
        <v>53.1</v>
      </c>
      <c r="H56" s="29"/>
      <c r="I56" s="29">
        <v>3.0</v>
      </c>
      <c r="J56" s="39">
        <v>1.0</v>
      </c>
      <c r="K56" s="131">
        <v>32.0</v>
      </c>
      <c r="L56" s="29">
        <v>13.0</v>
      </c>
      <c r="M56" s="41">
        <v>13.0</v>
      </c>
      <c r="N56" s="44">
        <f t="shared" si="17"/>
        <v>26</v>
      </c>
      <c r="O56" s="143">
        <f t="shared" si="18"/>
        <v>0.40625</v>
      </c>
      <c r="P56" s="29">
        <v>0.0</v>
      </c>
      <c r="Q56" s="49">
        <v>2.65</v>
      </c>
      <c r="R56" s="51">
        <v>0.909</v>
      </c>
      <c r="S56" s="29" t="s">
        <v>466</v>
      </c>
      <c r="T56" s="53"/>
      <c r="U56" s="55"/>
      <c r="V56" s="57">
        <f t="shared" si="4"/>
        <v>0</v>
      </c>
    </row>
    <row r="57" ht="20.25" customHeight="1">
      <c r="A57" s="25">
        <f t="shared" si="16"/>
        <v>3</v>
      </c>
      <c r="B57" s="29">
        <v>5.0</v>
      </c>
      <c r="C57" s="144" t="s">
        <v>441</v>
      </c>
      <c r="D57" s="34">
        <v>30.1</v>
      </c>
      <c r="E57" s="34" t="s">
        <v>170</v>
      </c>
      <c r="F57" s="34"/>
      <c r="G57" s="34">
        <v>29.6</v>
      </c>
      <c r="H57" s="29"/>
      <c r="I57" s="29">
        <v>1.0</v>
      </c>
      <c r="J57" s="139"/>
      <c r="K57" s="29">
        <v>27.0</v>
      </c>
      <c r="L57" s="29">
        <v>10.0</v>
      </c>
      <c r="M57" s="29"/>
      <c r="N57" s="44">
        <f t="shared" si="17"/>
        <v>3</v>
      </c>
      <c r="O57" s="143">
        <f t="shared" si="18"/>
        <v>0.3703703704</v>
      </c>
      <c r="P57" s="29">
        <v>1.0</v>
      </c>
      <c r="Q57" s="49">
        <v>3.04</v>
      </c>
      <c r="R57" s="51">
        <v>0.871</v>
      </c>
      <c r="S57" s="29" t="s">
        <v>469</v>
      </c>
      <c r="T57" s="53"/>
      <c r="U57" s="55"/>
      <c r="V57" s="57">
        <f t="shared" si="4"/>
        <v>-10</v>
      </c>
    </row>
    <row r="58" ht="20.25" customHeight="1">
      <c r="A58" s="81"/>
      <c r="B58" s="82"/>
      <c r="C58" s="84"/>
      <c r="D58" s="85"/>
      <c r="E58" s="85"/>
      <c r="F58" s="86"/>
      <c r="G58" s="85"/>
      <c r="H58" s="82"/>
      <c r="I58" s="82"/>
      <c r="J58" s="87"/>
      <c r="K58" s="82"/>
      <c r="L58" s="82"/>
      <c r="M58" s="88"/>
      <c r="N58" s="88"/>
      <c r="O58" s="88"/>
      <c r="P58" s="82"/>
      <c r="Q58" s="89"/>
      <c r="R58" s="90"/>
      <c r="S58" s="82"/>
      <c r="T58" s="91"/>
      <c r="U58" s="93"/>
      <c r="V58" s="95">
        <f t="shared" si="4"/>
        <v>0</v>
      </c>
      <c r="W58" s="96"/>
      <c r="X58" s="96"/>
      <c r="Y58" s="96"/>
      <c r="Z58" s="96"/>
    </row>
    <row r="59" ht="20.25" customHeight="1">
      <c r="A59" s="25">
        <f t="shared" ref="A59:A61" si="19">F59+J59+N59</f>
        <v>0</v>
      </c>
      <c r="B59" s="29">
        <v>6.0</v>
      </c>
      <c r="C59" s="31" t="s">
        <v>475</v>
      </c>
      <c r="D59" s="34">
        <v>24.0</v>
      </c>
      <c r="E59" s="34" t="s">
        <v>88</v>
      </c>
      <c r="F59" s="34"/>
      <c r="G59" s="34">
        <v>100.0</v>
      </c>
      <c r="H59" s="29"/>
      <c r="I59" s="29">
        <v>0.0</v>
      </c>
      <c r="J59" s="139"/>
      <c r="K59" s="29">
        <v>3.0</v>
      </c>
      <c r="L59" s="29">
        <v>2.0</v>
      </c>
      <c r="M59" s="29"/>
      <c r="N59" s="44">
        <f t="shared" ref="N59:N61" si="20">(M59*2)+(P59*3)</f>
        <v>0</v>
      </c>
      <c r="O59" s="143">
        <f t="shared" ref="O59:O61" si="21">L59/K59</f>
        <v>0.6666666667</v>
      </c>
      <c r="P59" s="29">
        <v>0.0</v>
      </c>
      <c r="Q59" s="49">
        <v>1.62</v>
      </c>
      <c r="R59" s="51">
        <v>0.948</v>
      </c>
      <c r="S59" s="29" t="s">
        <v>402</v>
      </c>
      <c r="T59" s="53"/>
      <c r="U59" s="55"/>
      <c r="V59" s="57">
        <f t="shared" si="4"/>
        <v>-2</v>
      </c>
    </row>
    <row r="60" ht="20.25" customHeight="1">
      <c r="A60" s="25">
        <f t="shared" si="19"/>
        <v>3</v>
      </c>
      <c r="B60" s="29">
        <v>6.0</v>
      </c>
      <c r="C60" s="31" t="s">
        <v>482</v>
      </c>
      <c r="D60" s="34">
        <v>23.9</v>
      </c>
      <c r="E60" s="34" t="s">
        <v>225</v>
      </c>
      <c r="F60" s="34"/>
      <c r="G60" s="34">
        <v>66.7</v>
      </c>
      <c r="H60" s="29"/>
      <c r="I60" s="29">
        <v>1.0</v>
      </c>
      <c r="J60" s="139"/>
      <c r="K60" s="29">
        <v>3.0</v>
      </c>
      <c r="L60" s="29">
        <v>2.0</v>
      </c>
      <c r="M60" s="29"/>
      <c r="N60" s="44">
        <f t="shared" si="20"/>
        <v>3</v>
      </c>
      <c r="O60" s="143">
        <f t="shared" si="21"/>
        <v>0.6666666667</v>
      </c>
      <c r="P60" s="29">
        <v>1.0</v>
      </c>
      <c r="Q60" s="49">
        <v>2.31</v>
      </c>
      <c r="R60" s="51">
        <v>0.918</v>
      </c>
      <c r="S60" s="29" t="s">
        <v>486</v>
      </c>
      <c r="T60" s="53"/>
      <c r="U60" s="55"/>
      <c r="V60" s="57">
        <f t="shared" si="4"/>
        <v>-2</v>
      </c>
    </row>
    <row r="61" ht="20.25" customHeight="1">
      <c r="A61" s="25">
        <f t="shared" si="19"/>
        <v>0</v>
      </c>
      <c r="B61" s="29">
        <v>6.0</v>
      </c>
      <c r="C61" s="31" t="s">
        <v>489</v>
      </c>
      <c r="D61" s="34">
        <v>25.5</v>
      </c>
      <c r="E61" s="34" t="s">
        <v>363</v>
      </c>
      <c r="F61" s="34"/>
      <c r="G61" s="34">
        <v>66.7</v>
      </c>
      <c r="H61" s="29"/>
      <c r="I61" s="29">
        <v>1.0</v>
      </c>
      <c r="J61" s="139"/>
      <c r="K61" s="29">
        <v>3.0</v>
      </c>
      <c r="L61" s="29">
        <v>2.0</v>
      </c>
      <c r="M61" s="29"/>
      <c r="N61" s="44">
        <f t="shared" si="20"/>
        <v>0</v>
      </c>
      <c r="O61" s="143">
        <f t="shared" si="21"/>
        <v>0.6666666667</v>
      </c>
      <c r="P61" s="29">
        <v>0.0</v>
      </c>
      <c r="Q61" s="49">
        <v>2.62</v>
      </c>
      <c r="R61" s="51">
        <v>0.908</v>
      </c>
      <c r="S61" s="29" t="s">
        <v>295</v>
      </c>
      <c r="T61" s="53"/>
      <c r="U61" s="55"/>
      <c r="V61" s="57">
        <f t="shared" si="4"/>
        <v>-2</v>
      </c>
    </row>
    <row r="62" ht="20.25" customHeight="1">
      <c r="A62" s="81"/>
      <c r="B62" s="82"/>
      <c r="C62" s="84"/>
      <c r="D62" s="85"/>
      <c r="E62" s="85"/>
      <c r="F62" s="86"/>
      <c r="G62" s="85"/>
      <c r="H62" s="82"/>
      <c r="I62" s="82"/>
      <c r="J62" s="87"/>
      <c r="K62" s="82"/>
      <c r="L62" s="82"/>
      <c r="M62" s="88"/>
      <c r="N62" s="88"/>
      <c r="O62" s="88"/>
      <c r="P62" s="82"/>
      <c r="Q62" s="89"/>
      <c r="R62" s="90"/>
      <c r="S62" s="82"/>
      <c r="T62" s="91"/>
      <c r="U62" s="93"/>
      <c r="V62" s="95">
        <f t="shared" si="4"/>
        <v>0</v>
      </c>
      <c r="W62" s="96"/>
      <c r="X62" s="96"/>
      <c r="Y62" s="96"/>
      <c r="Z62" s="96"/>
    </row>
    <row r="63" ht="20.25" customHeight="1">
      <c r="A63" s="25">
        <f t="shared" ref="A63:A74" si="22">F63+J63+N63</f>
        <v>32.84</v>
      </c>
      <c r="B63" s="29">
        <v>3.0</v>
      </c>
      <c r="C63" s="31" t="s">
        <v>229</v>
      </c>
      <c r="D63" s="34">
        <v>27.6</v>
      </c>
      <c r="E63" s="34" t="s">
        <v>71</v>
      </c>
      <c r="F63" s="34"/>
      <c r="G63" s="34">
        <v>50.0</v>
      </c>
      <c r="H63" s="29"/>
      <c r="I63" s="29">
        <v>3.0</v>
      </c>
      <c r="J63" s="39">
        <v>2.0</v>
      </c>
      <c r="K63" s="40">
        <v>50.0</v>
      </c>
      <c r="L63" s="29">
        <v>23.0</v>
      </c>
      <c r="M63" s="29">
        <f>27*O63</f>
        <v>12.42</v>
      </c>
      <c r="N63" s="44">
        <f t="shared" ref="N63:N74" si="23">(M63*2)+(P63*3)</f>
        <v>30.84</v>
      </c>
      <c r="O63" s="72">
        <f t="shared" ref="O63:O74" si="24">L63/K63</f>
        <v>0.46</v>
      </c>
      <c r="P63" s="29">
        <v>2.0</v>
      </c>
      <c r="Q63" s="49">
        <v>2.92</v>
      </c>
      <c r="R63" s="51">
        <v>0.888</v>
      </c>
      <c r="S63" s="29" t="s">
        <v>502</v>
      </c>
      <c r="T63" s="53"/>
      <c r="U63" s="55"/>
      <c r="V63" s="57">
        <f t="shared" si="4"/>
        <v>-10.58</v>
      </c>
    </row>
    <row r="64" ht="20.25" customHeight="1">
      <c r="A64" s="25">
        <f t="shared" si="22"/>
        <v>2</v>
      </c>
      <c r="B64" s="29">
        <v>4.0</v>
      </c>
      <c r="C64" s="31" t="s">
        <v>350</v>
      </c>
      <c r="D64" s="34">
        <v>30.4</v>
      </c>
      <c r="E64" s="34" t="s">
        <v>275</v>
      </c>
      <c r="F64" s="37">
        <v>1.0</v>
      </c>
      <c r="G64" s="34">
        <v>52.5</v>
      </c>
      <c r="H64" s="29"/>
      <c r="I64" s="29">
        <v>2.0</v>
      </c>
      <c r="J64" s="39">
        <v>1.0</v>
      </c>
      <c r="K64" s="131">
        <v>40.0</v>
      </c>
      <c r="L64" s="29">
        <v>18.0</v>
      </c>
      <c r="M64" s="29"/>
      <c r="N64" s="44">
        <f t="shared" si="23"/>
        <v>0</v>
      </c>
      <c r="O64" s="72">
        <f t="shared" si="24"/>
        <v>0.45</v>
      </c>
      <c r="P64" s="29">
        <v>0.0</v>
      </c>
      <c r="Q64" s="49">
        <v>2.87</v>
      </c>
      <c r="R64" s="51">
        <v>0.896</v>
      </c>
      <c r="S64" s="29" t="s">
        <v>436</v>
      </c>
      <c r="T64" s="53"/>
      <c r="U64" s="55"/>
      <c r="V64" s="57">
        <f t="shared" si="4"/>
        <v>-18</v>
      </c>
    </row>
    <row r="65" ht="20.25" customHeight="1">
      <c r="A65" s="25">
        <f t="shared" si="22"/>
        <v>2</v>
      </c>
      <c r="B65" s="29">
        <v>5.0</v>
      </c>
      <c r="C65" s="31" t="s">
        <v>433</v>
      </c>
      <c r="D65" s="34">
        <v>27.2</v>
      </c>
      <c r="E65" s="34" t="s">
        <v>114</v>
      </c>
      <c r="F65" s="37">
        <v>1.0</v>
      </c>
      <c r="G65" s="34">
        <v>51.5</v>
      </c>
      <c r="H65" s="29"/>
      <c r="I65" s="29">
        <v>3.0</v>
      </c>
      <c r="J65" s="39">
        <v>1.0</v>
      </c>
      <c r="K65" s="131">
        <v>33.0</v>
      </c>
      <c r="L65" s="29">
        <v>13.0</v>
      </c>
      <c r="M65" s="29"/>
      <c r="N65" s="44">
        <f t="shared" si="23"/>
        <v>0</v>
      </c>
      <c r="O65" s="143">
        <f t="shared" si="24"/>
        <v>0.3939393939</v>
      </c>
      <c r="P65" s="29">
        <v>0.0</v>
      </c>
      <c r="Q65" s="49">
        <v>3.05</v>
      </c>
      <c r="R65" s="51">
        <v>0.895</v>
      </c>
      <c r="S65" s="29" t="s">
        <v>511</v>
      </c>
      <c r="T65" s="53"/>
      <c r="U65" s="55"/>
      <c r="V65" s="57">
        <f t="shared" si="4"/>
        <v>-13</v>
      </c>
    </row>
    <row r="66" ht="20.25" customHeight="1">
      <c r="A66" s="25">
        <f t="shared" si="22"/>
        <v>2</v>
      </c>
      <c r="B66" s="29">
        <v>5.0</v>
      </c>
      <c r="C66" s="31" t="s">
        <v>471</v>
      </c>
      <c r="D66" s="34">
        <v>31.0</v>
      </c>
      <c r="E66" s="34" t="s">
        <v>275</v>
      </c>
      <c r="F66" s="37">
        <v>1.0</v>
      </c>
      <c r="G66" s="34">
        <v>56.0</v>
      </c>
      <c r="H66" s="29"/>
      <c r="I66" s="29">
        <v>1.0</v>
      </c>
      <c r="J66" s="39">
        <v>1.0</v>
      </c>
      <c r="K66" s="131">
        <v>25.0</v>
      </c>
      <c r="L66" s="29">
        <v>12.0</v>
      </c>
      <c r="M66" s="29"/>
      <c r="N66" s="44">
        <f t="shared" si="23"/>
        <v>0</v>
      </c>
      <c r="O66" s="143">
        <f t="shared" si="24"/>
        <v>0.48</v>
      </c>
      <c r="P66" s="29">
        <v>0.0</v>
      </c>
      <c r="Q66" s="49">
        <v>3.13</v>
      </c>
      <c r="R66" s="51">
        <v>0.89</v>
      </c>
      <c r="S66" s="29" t="s">
        <v>516</v>
      </c>
      <c r="T66" s="53"/>
      <c r="U66" s="55"/>
      <c r="V66" s="57">
        <f t="shared" si="4"/>
        <v>-12</v>
      </c>
    </row>
    <row r="67" ht="20.25" customHeight="1">
      <c r="A67" s="25">
        <f t="shared" si="22"/>
        <v>0</v>
      </c>
      <c r="B67" s="29">
        <v>5.0</v>
      </c>
      <c r="C67" s="31" t="s">
        <v>481</v>
      </c>
      <c r="D67" s="34">
        <v>30.8</v>
      </c>
      <c r="E67" s="34" t="s">
        <v>47</v>
      </c>
      <c r="F67" s="34"/>
      <c r="G67" s="34">
        <v>44.0</v>
      </c>
      <c r="H67" s="29"/>
      <c r="I67" s="29">
        <v>1.0</v>
      </c>
      <c r="J67" s="139"/>
      <c r="K67" s="29">
        <v>25.0</v>
      </c>
      <c r="L67" s="29">
        <v>11.0</v>
      </c>
      <c r="M67" s="29"/>
      <c r="N67" s="44">
        <f t="shared" si="23"/>
        <v>0</v>
      </c>
      <c r="O67" s="143">
        <f t="shared" si="24"/>
        <v>0.44</v>
      </c>
      <c r="P67" s="29">
        <v>0.0</v>
      </c>
      <c r="Q67" s="49">
        <v>3.29</v>
      </c>
      <c r="R67" s="51">
        <v>0.884</v>
      </c>
      <c r="S67" s="29" t="s">
        <v>523</v>
      </c>
      <c r="T67" s="53"/>
      <c r="U67" s="55"/>
      <c r="V67" s="57">
        <f t="shared" si="4"/>
        <v>-11</v>
      </c>
    </row>
    <row r="68" ht="20.25" customHeight="1">
      <c r="A68" s="25">
        <f t="shared" si="22"/>
        <v>0</v>
      </c>
      <c r="B68" s="29">
        <v>5.0</v>
      </c>
      <c r="C68" s="31" t="s">
        <v>448</v>
      </c>
      <c r="D68" s="34">
        <v>31.1</v>
      </c>
      <c r="E68" s="34" t="s">
        <v>261</v>
      </c>
      <c r="F68" s="34"/>
      <c r="G68" s="34">
        <v>38.3</v>
      </c>
      <c r="H68" s="29"/>
      <c r="I68" s="29">
        <v>2.0</v>
      </c>
      <c r="J68" s="139"/>
      <c r="K68" s="29">
        <v>47.0</v>
      </c>
      <c r="L68" s="29">
        <v>11.0</v>
      </c>
      <c r="M68" s="29"/>
      <c r="N68" s="44">
        <f t="shared" si="23"/>
        <v>0</v>
      </c>
      <c r="O68" s="143">
        <f t="shared" si="24"/>
        <v>0.2340425532</v>
      </c>
      <c r="P68" s="29">
        <v>0.0</v>
      </c>
      <c r="Q68" s="49">
        <v>3.7</v>
      </c>
      <c r="R68" s="51">
        <v>0.875</v>
      </c>
      <c r="S68" s="29" t="s">
        <v>308</v>
      </c>
      <c r="T68" s="53"/>
      <c r="U68" s="55"/>
      <c r="V68" s="57">
        <f t="shared" si="4"/>
        <v>-11</v>
      </c>
    </row>
    <row r="69" ht="20.25" customHeight="1">
      <c r="A69" s="25">
        <f t="shared" si="22"/>
        <v>27</v>
      </c>
      <c r="B69" s="29">
        <v>5.0</v>
      </c>
      <c r="C69" s="31" t="s">
        <v>455</v>
      </c>
      <c r="D69" s="34">
        <v>29.1</v>
      </c>
      <c r="E69" s="34" t="s">
        <v>262</v>
      </c>
      <c r="F69" s="37">
        <v>2.0</v>
      </c>
      <c r="G69" s="34">
        <v>64.5</v>
      </c>
      <c r="H69" s="29"/>
      <c r="I69" s="29">
        <v>4.0</v>
      </c>
      <c r="J69" s="39">
        <v>1.0</v>
      </c>
      <c r="K69" s="131">
        <v>31.0</v>
      </c>
      <c r="L69" s="29">
        <v>10.0</v>
      </c>
      <c r="M69" s="41">
        <v>12.0</v>
      </c>
      <c r="N69" s="44">
        <f t="shared" si="23"/>
        <v>24</v>
      </c>
      <c r="O69" s="143">
        <f t="shared" si="24"/>
        <v>0.3225806452</v>
      </c>
      <c r="P69" s="29">
        <v>0.0</v>
      </c>
      <c r="Q69" s="49">
        <v>2.69</v>
      </c>
      <c r="R69" s="51">
        <v>0.909</v>
      </c>
      <c r="S69" s="29" t="s">
        <v>240</v>
      </c>
      <c r="T69" s="53"/>
      <c r="U69" s="55"/>
      <c r="V69" s="57">
        <f t="shared" si="4"/>
        <v>2</v>
      </c>
    </row>
    <row r="70" ht="20.25" customHeight="1">
      <c r="A70" s="25">
        <f t="shared" si="22"/>
        <v>4</v>
      </c>
      <c r="B70" s="29">
        <v>5.0</v>
      </c>
      <c r="C70" s="31" t="s">
        <v>462</v>
      </c>
      <c r="D70" s="34">
        <v>26.3</v>
      </c>
      <c r="E70" s="34" t="s">
        <v>196</v>
      </c>
      <c r="F70" s="37">
        <v>1.0</v>
      </c>
      <c r="G70" s="34">
        <v>53.6</v>
      </c>
      <c r="H70" s="29"/>
      <c r="I70" s="29">
        <v>3.0</v>
      </c>
      <c r="J70" s="139"/>
      <c r="K70" s="29">
        <v>28.0</v>
      </c>
      <c r="L70" s="29">
        <v>10.0</v>
      </c>
      <c r="M70" s="29"/>
      <c r="N70" s="44">
        <f t="shared" si="23"/>
        <v>3</v>
      </c>
      <c r="O70" s="143">
        <f t="shared" si="24"/>
        <v>0.3571428571</v>
      </c>
      <c r="P70" s="29">
        <v>1.0</v>
      </c>
      <c r="Q70" s="49">
        <v>2.64</v>
      </c>
      <c r="R70" s="51">
        <v>0.907</v>
      </c>
      <c r="S70" s="29" t="s">
        <v>536</v>
      </c>
      <c r="T70" s="53"/>
      <c r="U70" s="55"/>
      <c r="V70" s="57">
        <f t="shared" si="4"/>
        <v>-10</v>
      </c>
    </row>
    <row r="71" ht="20.25" customHeight="1">
      <c r="A71" s="25">
        <f t="shared" si="22"/>
        <v>0</v>
      </c>
      <c r="B71" s="29">
        <v>5.0</v>
      </c>
      <c r="C71" s="31" t="s">
        <v>476</v>
      </c>
      <c r="D71" s="34">
        <v>29.6</v>
      </c>
      <c r="E71" s="34" t="s">
        <v>109</v>
      </c>
      <c r="F71" s="34"/>
      <c r="G71" s="34">
        <v>32.0</v>
      </c>
      <c r="H71" s="29"/>
      <c r="I71" s="29">
        <v>2.0</v>
      </c>
      <c r="J71" s="139"/>
      <c r="K71" s="29">
        <v>25.0</v>
      </c>
      <c r="L71" s="29">
        <v>10.0</v>
      </c>
      <c r="M71" s="29"/>
      <c r="N71" s="44">
        <f t="shared" si="23"/>
        <v>0</v>
      </c>
      <c r="O71" s="143">
        <f t="shared" si="24"/>
        <v>0.4</v>
      </c>
      <c r="P71" s="29">
        <v>0.0</v>
      </c>
      <c r="Q71" s="49">
        <v>3.43</v>
      </c>
      <c r="R71" s="51">
        <v>0.872</v>
      </c>
      <c r="S71" s="29" t="s">
        <v>543</v>
      </c>
      <c r="T71" s="53"/>
      <c r="U71" s="55"/>
      <c r="V71" s="57">
        <f t="shared" si="4"/>
        <v>-10</v>
      </c>
    </row>
    <row r="72" ht="20.25" customHeight="1">
      <c r="A72" s="25">
        <f t="shared" si="22"/>
        <v>0</v>
      </c>
      <c r="B72" s="29">
        <v>5.0</v>
      </c>
      <c r="C72" s="31" t="s">
        <v>501</v>
      </c>
      <c r="D72" s="34">
        <v>31.4</v>
      </c>
      <c r="E72" s="34" t="s">
        <v>192</v>
      </c>
      <c r="F72" s="34"/>
      <c r="G72" s="34">
        <v>40.0</v>
      </c>
      <c r="H72" s="29"/>
      <c r="I72" s="29">
        <v>2.0</v>
      </c>
      <c r="J72" s="139"/>
      <c r="K72" s="29">
        <v>20.0</v>
      </c>
      <c r="L72" s="29">
        <v>10.0</v>
      </c>
      <c r="M72" s="29"/>
      <c r="N72" s="44">
        <f t="shared" si="23"/>
        <v>0</v>
      </c>
      <c r="O72" s="143">
        <f t="shared" si="24"/>
        <v>0.5</v>
      </c>
      <c r="P72" s="29">
        <v>0.0</v>
      </c>
      <c r="Q72" s="49">
        <v>3.25</v>
      </c>
      <c r="R72" s="51">
        <v>0.884</v>
      </c>
      <c r="S72" s="29" t="s">
        <v>385</v>
      </c>
      <c r="T72" s="53"/>
      <c r="U72" s="55"/>
      <c r="V72" s="57">
        <f t="shared" si="4"/>
        <v>-10</v>
      </c>
    </row>
    <row r="73" ht="20.25" customHeight="1">
      <c r="A73" s="25">
        <f t="shared" si="22"/>
        <v>3</v>
      </c>
      <c r="B73" s="29">
        <v>5.0</v>
      </c>
      <c r="C73" s="31" t="s">
        <v>488</v>
      </c>
      <c r="D73" s="34">
        <v>32.5</v>
      </c>
      <c r="E73" s="34" t="s">
        <v>76</v>
      </c>
      <c r="F73" s="34"/>
      <c r="G73" s="34">
        <v>23.8</v>
      </c>
      <c r="H73" s="29"/>
      <c r="I73" s="29">
        <v>3.0</v>
      </c>
      <c r="J73" s="139"/>
      <c r="K73" s="29">
        <v>21.0</v>
      </c>
      <c r="L73" s="29">
        <v>9.0</v>
      </c>
      <c r="M73" s="29"/>
      <c r="N73" s="44">
        <f t="shared" si="23"/>
        <v>3</v>
      </c>
      <c r="O73" s="143">
        <f t="shared" si="24"/>
        <v>0.4285714286</v>
      </c>
      <c r="P73" s="29">
        <v>1.0</v>
      </c>
      <c r="Q73" s="49">
        <v>3.52</v>
      </c>
      <c r="R73" s="51">
        <v>0.879</v>
      </c>
      <c r="S73" s="29" t="s">
        <v>554</v>
      </c>
      <c r="T73" s="53"/>
      <c r="U73" s="55"/>
      <c r="V73" s="57">
        <f t="shared" si="4"/>
        <v>-9</v>
      </c>
    </row>
    <row r="74" ht="20.25" customHeight="1">
      <c r="A74" s="25">
        <f t="shared" si="22"/>
        <v>0</v>
      </c>
      <c r="B74" s="29">
        <v>5.0</v>
      </c>
      <c r="C74" s="31" t="s">
        <v>514</v>
      </c>
      <c r="D74" s="34">
        <v>23.9</v>
      </c>
      <c r="E74" s="34" t="s">
        <v>122</v>
      </c>
      <c r="F74" s="34"/>
      <c r="G74" s="34">
        <v>30.0</v>
      </c>
      <c r="H74" s="29"/>
      <c r="I74" s="29">
        <v>1.0</v>
      </c>
      <c r="J74" s="139"/>
      <c r="K74" s="29">
        <v>20.0</v>
      </c>
      <c r="L74" s="29">
        <v>8.0</v>
      </c>
      <c r="M74" s="29"/>
      <c r="N74" s="44">
        <f t="shared" si="23"/>
        <v>0</v>
      </c>
      <c r="O74" s="143">
        <f t="shared" si="24"/>
        <v>0.4</v>
      </c>
      <c r="P74" s="29">
        <v>0.0</v>
      </c>
      <c r="Q74" s="49">
        <v>3.51</v>
      </c>
      <c r="R74" s="51">
        <v>0.86</v>
      </c>
      <c r="S74" s="29" t="s">
        <v>511</v>
      </c>
      <c r="T74" s="53"/>
      <c r="U74" s="55"/>
      <c r="V74" s="57">
        <f t="shared" si="4"/>
        <v>-8</v>
      </c>
    </row>
    <row r="75">
      <c r="A75" s="8"/>
      <c r="B75" s="8"/>
      <c r="C75" s="8"/>
      <c r="D75" s="8"/>
      <c r="E75" s="8"/>
      <c r="F75" s="182"/>
      <c r="G75" s="8"/>
    </row>
    <row r="77">
      <c r="A77" s="8"/>
      <c r="B77" s="8"/>
      <c r="C77" s="8"/>
      <c r="D77" s="8"/>
      <c r="E77" s="8"/>
      <c r="F77" s="182"/>
      <c r="G77" s="8"/>
    </row>
    <row r="78">
      <c r="A78" s="8"/>
      <c r="B78" s="8"/>
      <c r="C78" s="8"/>
      <c r="D78" s="8"/>
      <c r="E78" s="8"/>
      <c r="F78" s="182"/>
      <c r="G78" s="8"/>
    </row>
    <row r="79">
      <c r="A79" s="8"/>
      <c r="B79" s="8"/>
      <c r="C79" s="8"/>
      <c r="D79" s="8"/>
      <c r="E79" s="8"/>
      <c r="F79" s="182"/>
      <c r="G79" s="8"/>
    </row>
    <row r="80">
      <c r="A80" s="8"/>
      <c r="B80" s="8"/>
      <c r="C80" s="8"/>
      <c r="D80" s="8"/>
      <c r="E80" s="8"/>
      <c r="F80" s="182"/>
      <c r="G80" s="8"/>
    </row>
    <row r="81">
      <c r="A81" s="8"/>
      <c r="B81" s="8"/>
      <c r="C81" s="8"/>
      <c r="D81" s="8"/>
      <c r="E81" s="8"/>
      <c r="F81" s="182"/>
      <c r="G81" s="8"/>
    </row>
    <row r="82">
      <c r="A82" s="8"/>
      <c r="B82" s="8"/>
      <c r="C82" s="8"/>
      <c r="D82" s="8"/>
      <c r="E82" s="8"/>
      <c r="F82" s="182"/>
      <c r="G82" s="8"/>
    </row>
    <row r="83">
      <c r="A83" s="8"/>
      <c r="B83" s="8"/>
      <c r="C83" s="8"/>
      <c r="D83" s="8"/>
      <c r="E83" s="8"/>
      <c r="F83" s="182"/>
      <c r="G83" s="8"/>
    </row>
    <row r="84">
      <c r="A84" s="8"/>
      <c r="B84" s="8"/>
      <c r="C84" s="8"/>
      <c r="D84" s="8"/>
      <c r="E84" s="8"/>
      <c r="F84" s="182"/>
      <c r="G84" s="8"/>
    </row>
    <row r="85">
      <c r="A85" s="8"/>
      <c r="B85" s="8"/>
      <c r="C85" s="8"/>
      <c r="D85" s="8"/>
      <c r="E85" s="8"/>
      <c r="F85" s="182"/>
      <c r="G85" s="8"/>
    </row>
    <row r="86">
      <c r="A86" s="8"/>
      <c r="B86" s="8"/>
      <c r="C86" s="8"/>
      <c r="D86" s="8"/>
      <c r="E86" s="8"/>
      <c r="F86" s="182"/>
      <c r="G86" s="8"/>
    </row>
    <row r="87">
      <c r="A87" s="8"/>
      <c r="B87" s="8"/>
      <c r="C87" s="8"/>
      <c r="D87" s="8"/>
      <c r="E87" s="8"/>
      <c r="F87" s="182"/>
      <c r="G87" s="8"/>
    </row>
    <row r="88">
      <c r="A88" s="8"/>
      <c r="B88" s="8"/>
      <c r="C88" s="8"/>
      <c r="D88" s="8"/>
      <c r="E88" s="8"/>
      <c r="F88" s="182"/>
      <c r="G88" s="8"/>
    </row>
    <row r="89">
      <c r="A89" s="8"/>
      <c r="B89" s="8"/>
      <c r="C89" s="8"/>
      <c r="D89" s="8"/>
      <c r="E89" s="8"/>
      <c r="F89" s="182"/>
      <c r="G89" s="8"/>
    </row>
    <row r="90">
      <c r="A90" s="8"/>
      <c r="B90" s="8"/>
      <c r="C90" s="8"/>
      <c r="D90" s="8"/>
      <c r="E90" s="8"/>
      <c r="F90" s="182"/>
      <c r="G90" s="8"/>
    </row>
    <row r="91">
      <c r="A91" s="8"/>
      <c r="B91" s="8"/>
      <c r="C91" s="8"/>
      <c r="D91" s="8"/>
      <c r="E91" s="8"/>
      <c r="F91" s="182"/>
      <c r="G91" s="8"/>
    </row>
    <row r="92">
      <c r="A92" s="8"/>
      <c r="B92" s="8"/>
      <c r="C92" s="8"/>
      <c r="D92" s="8"/>
      <c r="E92" s="8"/>
      <c r="F92" s="182"/>
      <c r="G92" s="8"/>
    </row>
    <row r="93">
      <c r="A93" s="8"/>
      <c r="B93" s="8"/>
      <c r="C93" s="8"/>
      <c r="D93" s="8"/>
      <c r="E93" s="8"/>
      <c r="F93" s="182"/>
      <c r="G93" s="8"/>
    </row>
    <row r="94">
      <c r="A94" s="8"/>
      <c r="B94" s="8"/>
      <c r="C94" s="8"/>
      <c r="D94" s="8"/>
      <c r="E94" s="8"/>
      <c r="F94" s="182"/>
      <c r="G94" s="8"/>
    </row>
    <row r="95">
      <c r="A95" s="8"/>
      <c r="B95" s="8"/>
      <c r="C95" s="8"/>
      <c r="D95" s="8"/>
      <c r="E95" s="8"/>
      <c r="F95" s="182"/>
      <c r="G95" s="8"/>
    </row>
    <row r="96">
      <c r="A96" s="8"/>
      <c r="B96" s="8"/>
      <c r="C96" s="8"/>
      <c r="D96" s="8"/>
      <c r="E96" s="8"/>
      <c r="F96" s="182"/>
      <c r="G96" s="8"/>
    </row>
    <row r="97">
      <c r="A97" s="8"/>
      <c r="B97" s="8"/>
      <c r="C97" s="8"/>
      <c r="D97" s="8"/>
      <c r="E97" s="8"/>
      <c r="F97" s="182"/>
      <c r="G97" s="8"/>
    </row>
    <row r="98">
      <c r="A98" s="8"/>
      <c r="B98" s="8"/>
      <c r="C98" s="8"/>
      <c r="D98" s="8"/>
      <c r="E98" s="8"/>
      <c r="F98" s="182"/>
      <c r="G98" s="8"/>
    </row>
    <row r="99">
      <c r="A99" s="8"/>
      <c r="B99" s="8"/>
      <c r="C99" s="8"/>
      <c r="D99" s="8"/>
      <c r="E99" s="8"/>
      <c r="F99" s="182"/>
      <c r="G99" s="8"/>
    </row>
    <row r="100">
      <c r="A100" s="8"/>
      <c r="B100" s="8"/>
      <c r="C100" s="8"/>
      <c r="D100" s="8"/>
      <c r="E100" s="8"/>
      <c r="F100" s="182"/>
      <c r="G100" s="8"/>
    </row>
    <row r="101">
      <c r="A101" s="8"/>
      <c r="B101" s="8"/>
      <c r="C101" s="8"/>
      <c r="D101" s="8"/>
      <c r="E101" s="8"/>
      <c r="F101" s="182"/>
      <c r="G101" s="8"/>
    </row>
    <row r="102">
      <c r="A102" s="8"/>
      <c r="B102" s="8"/>
      <c r="C102" s="8"/>
      <c r="D102" s="8"/>
      <c r="E102" s="8"/>
      <c r="F102" s="182"/>
      <c r="G102" s="8"/>
    </row>
    <row r="103">
      <c r="A103" s="8"/>
      <c r="B103" s="8"/>
      <c r="C103" s="8"/>
      <c r="D103" s="8"/>
      <c r="E103" s="8"/>
      <c r="F103" s="182"/>
      <c r="G103" s="8"/>
    </row>
    <row r="104">
      <c r="A104" s="8"/>
      <c r="B104" s="8"/>
      <c r="C104" s="8"/>
      <c r="D104" s="8"/>
      <c r="E104" s="8"/>
      <c r="F104" s="182"/>
      <c r="G104" s="8"/>
    </row>
    <row r="105">
      <c r="A105" s="8"/>
      <c r="B105" s="8"/>
      <c r="C105" s="8"/>
      <c r="D105" s="8"/>
      <c r="E105" s="8"/>
      <c r="F105" s="182"/>
      <c r="G105" s="8"/>
    </row>
    <row r="106">
      <c r="A106" s="8"/>
      <c r="B106" s="8"/>
      <c r="C106" s="8"/>
      <c r="D106" s="8"/>
      <c r="E106" s="8"/>
      <c r="F106" s="182"/>
      <c r="G106" s="8"/>
    </row>
    <row r="107">
      <c r="A107" s="8"/>
      <c r="B107" s="8"/>
      <c r="C107" s="8"/>
      <c r="D107" s="8"/>
      <c r="E107" s="8"/>
      <c r="F107" s="182"/>
      <c r="G107" s="8"/>
    </row>
    <row r="108">
      <c r="A108" s="8"/>
      <c r="B108" s="8"/>
      <c r="C108" s="8"/>
      <c r="D108" s="8"/>
      <c r="E108" s="8"/>
      <c r="F108" s="182"/>
      <c r="G108" s="8"/>
    </row>
    <row r="109">
      <c r="A109" s="8"/>
      <c r="B109" s="8"/>
      <c r="C109" s="8"/>
      <c r="D109" s="8"/>
      <c r="E109" s="8"/>
      <c r="F109" s="182"/>
      <c r="G109" s="8"/>
    </row>
    <row r="110">
      <c r="A110" s="8"/>
      <c r="B110" s="8"/>
      <c r="C110" s="8"/>
      <c r="D110" s="8"/>
      <c r="E110" s="8"/>
      <c r="F110" s="182"/>
      <c r="G110" s="8"/>
    </row>
    <row r="111">
      <c r="A111" s="8"/>
      <c r="B111" s="8"/>
      <c r="C111" s="8"/>
      <c r="D111" s="8"/>
      <c r="E111" s="8"/>
      <c r="F111" s="182"/>
      <c r="G111" s="8"/>
    </row>
    <row r="112">
      <c r="A112" s="8"/>
      <c r="B112" s="8"/>
      <c r="C112" s="8"/>
      <c r="D112" s="8"/>
      <c r="E112" s="8"/>
      <c r="F112" s="182"/>
      <c r="G112" s="8"/>
    </row>
    <row r="113">
      <c r="A113" s="8"/>
      <c r="B113" s="8"/>
      <c r="C113" s="8"/>
      <c r="D113" s="8"/>
      <c r="E113" s="8"/>
      <c r="F113" s="182"/>
      <c r="G113" s="8"/>
    </row>
    <row r="114">
      <c r="A114" s="8"/>
      <c r="B114" s="8"/>
      <c r="C114" s="8"/>
      <c r="D114" s="8"/>
      <c r="E114" s="8"/>
      <c r="F114" s="182"/>
      <c r="G114" s="8"/>
    </row>
    <row r="115">
      <c r="A115" s="8"/>
      <c r="B115" s="8"/>
      <c r="C115" s="8"/>
      <c r="D115" s="8"/>
      <c r="E115" s="8"/>
      <c r="F115" s="182"/>
      <c r="G115" s="8"/>
    </row>
    <row r="116">
      <c r="A116" s="8"/>
      <c r="B116" s="8"/>
      <c r="C116" s="8"/>
      <c r="D116" s="8"/>
      <c r="E116" s="8"/>
      <c r="F116" s="182"/>
      <c r="G116" s="8"/>
    </row>
    <row r="117">
      <c r="A117" s="8"/>
      <c r="B117" s="8"/>
      <c r="C117" s="8"/>
      <c r="D117" s="8"/>
      <c r="E117" s="8"/>
      <c r="F117" s="182"/>
      <c r="G117" s="8"/>
    </row>
    <row r="118">
      <c r="A118" s="8"/>
      <c r="B118" s="8"/>
      <c r="C118" s="8"/>
      <c r="D118" s="8"/>
      <c r="E118" s="8"/>
      <c r="F118" s="182"/>
      <c r="G118" s="8"/>
    </row>
    <row r="119">
      <c r="A119" s="8"/>
      <c r="B119" s="8"/>
      <c r="C119" s="8"/>
      <c r="D119" s="8"/>
      <c r="E119" s="8"/>
      <c r="F119" s="182"/>
      <c r="G119" s="8"/>
    </row>
    <row r="120">
      <c r="A120" s="8"/>
      <c r="B120" s="8"/>
      <c r="C120" s="8"/>
      <c r="D120" s="8"/>
      <c r="E120" s="8"/>
      <c r="F120" s="182"/>
      <c r="G120" s="8"/>
    </row>
    <row r="121">
      <c r="A121" s="8"/>
      <c r="B121" s="8"/>
      <c r="C121" s="8"/>
      <c r="D121" s="8"/>
      <c r="E121" s="8"/>
      <c r="F121" s="182"/>
      <c r="G121" s="8"/>
    </row>
    <row r="122">
      <c r="A122" s="8"/>
      <c r="B122" s="8"/>
      <c r="C122" s="8"/>
      <c r="D122" s="8"/>
      <c r="E122" s="8"/>
      <c r="F122" s="182"/>
      <c r="G122" s="8"/>
    </row>
    <row r="123">
      <c r="A123" s="8"/>
      <c r="B123" s="8"/>
      <c r="C123" s="8"/>
      <c r="D123" s="8"/>
      <c r="E123" s="8"/>
      <c r="F123" s="182"/>
      <c r="G123" s="8"/>
    </row>
    <row r="124">
      <c r="A124" s="8"/>
      <c r="B124" s="8"/>
      <c r="C124" s="8"/>
      <c r="D124" s="8"/>
      <c r="E124" s="8"/>
      <c r="F124" s="182"/>
      <c r="G124" s="8"/>
    </row>
    <row r="125">
      <c r="A125" s="8"/>
      <c r="B125" s="8"/>
      <c r="C125" s="8"/>
      <c r="D125" s="8"/>
      <c r="E125" s="8"/>
      <c r="F125" s="182"/>
      <c r="G125" s="8"/>
    </row>
    <row r="126">
      <c r="A126" s="8"/>
      <c r="B126" s="8"/>
      <c r="C126" s="8"/>
      <c r="D126" s="8"/>
      <c r="E126" s="8"/>
      <c r="F126" s="182"/>
      <c r="G126" s="8"/>
    </row>
    <row r="127">
      <c r="A127" s="8"/>
      <c r="B127" s="8"/>
      <c r="C127" s="8"/>
      <c r="D127" s="8"/>
      <c r="E127" s="8"/>
      <c r="F127" s="182"/>
      <c r="G127" s="8"/>
    </row>
    <row r="128">
      <c r="A128" s="8"/>
      <c r="B128" s="8"/>
      <c r="C128" s="8"/>
      <c r="D128" s="8"/>
      <c r="E128" s="8"/>
      <c r="F128" s="182"/>
      <c r="G128" s="8"/>
    </row>
    <row r="129">
      <c r="A129" s="8"/>
      <c r="B129" s="8"/>
      <c r="C129" s="8"/>
      <c r="D129" s="8"/>
      <c r="E129" s="8"/>
      <c r="F129" s="182"/>
      <c r="G129" s="8"/>
    </row>
    <row r="130">
      <c r="A130" s="8"/>
      <c r="B130" s="8"/>
      <c r="C130" s="8"/>
      <c r="D130" s="8"/>
      <c r="E130" s="8"/>
      <c r="F130" s="182"/>
      <c r="G130" s="8"/>
    </row>
    <row r="131">
      <c r="A131" s="8"/>
      <c r="B131" s="8"/>
      <c r="C131" s="8"/>
      <c r="D131" s="8"/>
      <c r="E131" s="8"/>
      <c r="F131" s="182"/>
      <c r="G131" s="8"/>
    </row>
    <row r="132">
      <c r="A132" s="8"/>
      <c r="B132" s="8"/>
      <c r="C132" s="8"/>
      <c r="D132" s="8"/>
      <c r="E132" s="8"/>
      <c r="F132" s="182"/>
      <c r="G132" s="8"/>
    </row>
    <row r="133">
      <c r="A133" s="8"/>
      <c r="B133" s="8"/>
      <c r="C133" s="8"/>
      <c r="D133" s="8"/>
      <c r="E133" s="8"/>
      <c r="F133" s="182"/>
      <c r="G133" s="8"/>
    </row>
    <row r="134">
      <c r="A134" s="8"/>
      <c r="B134" s="8"/>
      <c r="C134" s="8"/>
      <c r="D134" s="8"/>
      <c r="E134" s="8"/>
      <c r="F134" s="182"/>
      <c r="G134" s="8"/>
    </row>
    <row r="135">
      <c r="A135" s="8"/>
      <c r="B135" s="8"/>
      <c r="C135" s="8"/>
      <c r="D135" s="8"/>
      <c r="E135" s="8"/>
      <c r="F135" s="182"/>
      <c r="G135" s="8"/>
    </row>
    <row r="136">
      <c r="A136" s="8"/>
      <c r="B136" s="8"/>
      <c r="C136" s="8"/>
      <c r="D136" s="8"/>
      <c r="E136" s="8"/>
      <c r="F136" s="182"/>
      <c r="G136" s="8"/>
    </row>
    <row r="137">
      <c r="A137" s="8"/>
      <c r="B137" s="8"/>
      <c r="C137" s="8"/>
      <c r="D137" s="8"/>
      <c r="E137" s="8"/>
      <c r="F137" s="182"/>
      <c r="G137" s="8"/>
    </row>
    <row r="138">
      <c r="A138" s="8"/>
      <c r="B138" s="8"/>
      <c r="C138" s="8"/>
      <c r="D138" s="8"/>
      <c r="E138" s="8"/>
      <c r="F138" s="182"/>
      <c r="G138" s="8"/>
    </row>
    <row r="139">
      <c r="A139" s="8"/>
      <c r="B139" s="8"/>
      <c r="C139" s="8"/>
      <c r="D139" s="8"/>
      <c r="E139" s="8"/>
      <c r="F139" s="182"/>
      <c r="G139" s="8"/>
    </row>
    <row r="140">
      <c r="A140" s="8"/>
      <c r="B140" s="8"/>
      <c r="C140" s="8"/>
      <c r="D140" s="8"/>
      <c r="E140" s="8"/>
      <c r="F140" s="182"/>
      <c r="G140" s="8"/>
    </row>
    <row r="141">
      <c r="A141" s="8"/>
      <c r="B141" s="8"/>
      <c r="C141" s="8"/>
      <c r="D141" s="8"/>
      <c r="E141" s="8"/>
      <c r="F141" s="182"/>
      <c r="G141" s="8"/>
    </row>
    <row r="142">
      <c r="A142" s="8"/>
      <c r="B142" s="8"/>
      <c r="C142" s="8"/>
      <c r="D142" s="8"/>
      <c r="E142" s="8"/>
      <c r="F142" s="182"/>
      <c r="G142" s="8"/>
    </row>
    <row r="143">
      <c r="A143" s="8"/>
      <c r="B143" s="8"/>
      <c r="C143" s="8"/>
      <c r="D143" s="8"/>
      <c r="E143" s="8"/>
      <c r="F143" s="182"/>
      <c r="G143" s="8"/>
    </row>
    <row r="144">
      <c r="A144" s="8"/>
      <c r="B144" s="8"/>
      <c r="C144" s="8"/>
      <c r="D144" s="8"/>
      <c r="E144" s="8"/>
      <c r="F144" s="182"/>
      <c r="G144" s="8"/>
    </row>
    <row r="145">
      <c r="A145" s="8"/>
      <c r="B145" s="8"/>
      <c r="C145" s="8"/>
      <c r="D145" s="8"/>
      <c r="E145" s="8"/>
      <c r="F145" s="182"/>
      <c r="G145" s="8"/>
    </row>
    <row r="146">
      <c r="A146" s="8"/>
      <c r="B146" s="8"/>
      <c r="C146" s="8"/>
      <c r="D146" s="8"/>
      <c r="E146" s="8"/>
      <c r="F146" s="182"/>
      <c r="G146" s="8"/>
    </row>
    <row r="147">
      <c r="A147" s="8"/>
      <c r="B147" s="8"/>
      <c r="C147" s="8"/>
      <c r="D147" s="8"/>
      <c r="E147" s="8"/>
      <c r="F147" s="182"/>
      <c r="G147" s="8"/>
    </row>
    <row r="148">
      <c r="A148" s="8"/>
      <c r="B148" s="8"/>
      <c r="C148" s="8"/>
      <c r="D148" s="8"/>
      <c r="E148" s="8"/>
      <c r="F148" s="182"/>
      <c r="G148" s="8"/>
    </row>
    <row r="149">
      <c r="A149" s="8"/>
      <c r="B149" s="8"/>
      <c r="C149" s="8"/>
      <c r="D149" s="8"/>
      <c r="E149" s="8"/>
      <c r="F149" s="182"/>
      <c r="G149" s="8"/>
    </row>
    <row r="150">
      <c r="A150" s="8"/>
      <c r="B150" s="8"/>
      <c r="C150" s="8"/>
      <c r="D150" s="8"/>
      <c r="E150" s="8"/>
      <c r="F150" s="182"/>
      <c r="G150" s="8"/>
    </row>
    <row r="151">
      <c r="A151" s="8"/>
      <c r="B151" s="8"/>
      <c r="C151" s="8"/>
      <c r="D151" s="8"/>
      <c r="E151" s="8"/>
      <c r="F151" s="182"/>
      <c r="G151" s="8"/>
    </row>
    <row r="152">
      <c r="A152" s="8"/>
      <c r="B152" s="8"/>
      <c r="C152" s="8"/>
      <c r="D152" s="8"/>
      <c r="E152" s="8"/>
      <c r="F152" s="182"/>
      <c r="G152" s="8"/>
    </row>
    <row r="153">
      <c r="A153" s="8"/>
      <c r="B153" s="8"/>
      <c r="C153" s="8"/>
      <c r="D153" s="8"/>
      <c r="E153" s="8"/>
      <c r="F153" s="182"/>
      <c r="G153" s="8"/>
    </row>
    <row r="154">
      <c r="A154" s="8"/>
      <c r="B154" s="8"/>
      <c r="C154" s="8"/>
      <c r="D154" s="8"/>
      <c r="E154" s="8"/>
      <c r="F154" s="182"/>
      <c r="G154" s="8"/>
    </row>
    <row r="155">
      <c r="A155" s="8"/>
      <c r="B155" s="8"/>
      <c r="C155" s="8"/>
      <c r="D155" s="8"/>
      <c r="E155" s="8"/>
      <c r="F155" s="182"/>
      <c r="G155" s="8"/>
    </row>
    <row r="156">
      <c r="A156" s="8"/>
      <c r="B156" s="8"/>
      <c r="C156" s="8"/>
      <c r="D156" s="8"/>
      <c r="E156" s="8"/>
      <c r="F156" s="182"/>
      <c r="G156" s="8"/>
    </row>
    <row r="157">
      <c r="A157" s="8"/>
      <c r="B157" s="8"/>
      <c r="C157" s="8"/>
      <c r="D157" s="8"/>
      <c r="E157" s="8"/>
      <c r="F157" s="182"/>
      <c r="G157" s="8"/>
    </row>
    <row r="158">
      <c r="A158" s="8"/>
      <c r="B158" s="8"/>
      <c r="C158" s="8"/>
      <c r="D158" s="8"/>
      <c r="E158" s="8"/>
      <c r="F158" s="182"/>
      <c r="G158" s="8"/>
    </row>
    <row r="159">
      <c r="A159" s="8"/>
      <c r="B159" s="8"/>
      <c r="C159" s="8"/>
      <c r="D159" s="8"/>
      <c r="E159" s="8"/>
      <c r="F159" s="182"/>
      <c r="G159" s="8"/>
    </row>
    <row r="160">
      <c r="A160" s="8"/>
      <c r="B160" s="8"/>
      <c r="C160" s="8"/>
      <c r="D160" s="8"/>
      <c r="E160" s="8"/>
      <c r="F160" s="182"/>
      <c r="G160" s="8"/>
    </row>
    <row r="161">
      <c r="A161" s="8"/>
      <c r="B161" s="8"/>
      <c r="C161" s="8"/>
      <c r="D161" s="8"/>
      <c r="E161" s="8"/>
      <c r="F161" s="182"/>
      <c r="G161" s="8"/>
    </row>
    <row r="162">
      <c r="A162" s="8"/>
      <c r="B162" s="8"/>
      <c r="C162" s="8"/>
      <c r="D162" s="8"/>
      <c r="E162" s="8"/>
      <c r="F162" s="182"/>
      <c r="G162" s="8"/>
    </row>
    <row r="163">
      <c r="A163" s="8"/>
      <c r="B163" s="8"/>
      <c r="C163" s="8"/>
      <c r="D163" s="8"/>
      <c r="E163" s="8"/>
      <c r="F163" s="182"/>
      <c r="G163" s="8"/>
    </row>
    <row r="164">
      <c r="A164" s="8"/>
      <c r="B164" s="8"/>
      <c r="C164" s="8"/>
      <c r="D164" s="8"/>
      <c r="E164" s="8"/>
      <c r="F164" s="182"/>
      <c r="G164" s="8"/>
    </row>
    <row r="165">
      <c r="A165" s="8"/>
      <c r="B165" s="8"/>
      <c r="C165" s="8"/>
      <c r="D165" s="8"/>
      <c r="E165" s="8"/>
      <c r="F165" s="182"/>
      <c r="G165" s="8"/>
    </row>
    <row r="166">
      <c r="A166" s="8"/>
      <c r="B166" s="8"/>
      <c r="C166" s="8"/>
      <c r="D166" s="8"/>
      <c r="E166" s="8"/>
      <c r="F166" s="182"/>
      <c r="G166" s="8"/>
    </row>
    <row r="167">
      <c r="A167" s="8"/>
      <c r="B167" s="8"/>
      <c r="C167" s="8"/>
      <c r="D167" s="8"/>
      <c r="E167" s="8"/>
      <c r="F167" s="182"/>
      <c r="G167" s="8"/>
    </row>
    <row r="168">
      <c r="A168" s="8"/>
      <c r="B168" s="8"/>
      <c r="C168" s="8"/>
      <c r="D168" s="8"/>
      <c r="E168" s="8"/>
      <c r="F168" s="182"/>
      <c r="G168" s="8"/>
    </row>
    <row r="169">
      <c r="A169" s="8"/>
      <c r="B169" s="8"/>
      <c r="C169" s="8"/>
      <c r="D169" s="8"/>
      <c r="E169" s="8"/>
      <c r="F169" s="182"/>
      <c r="G169" s="8"/>
    </row>
    <row r="170">
      <c r="A170" s="8"/>
      <c r="B170" s="8"/>
      <c r="C170" s="8"/>
      <c r="D170" s="8"/>
      <c r="E170" s="8"/>
      <c r="F170" s="182"/>
      <c r="G170" s="8"/>
    </row>
    <row r="171">
      <c r="A171" s="8"/>
      <c r="B171" s="8"/>
      <c r="C171" s="8"/>
      <c r="D171" s="8"/>
      <c r="E171" s="8"/>
      <c r="F171" s="182"/>
      <c r="G171" s="8"/>
    </row>
    <row r="172">
      <c r="A172" s="8"/>
      <c r="B172" s="8"/>
      <c r="C172" s="8"/>
      <c r="D172" s="8"/>
      <c r="E172" s="8"/>
      <c r="F172" s="182"/>
      <c r="G172" s="8"/>
    </row>
    <row r="173">
      <c r="A173" s="8"/>
      <c r="B173" s="8"/>
      <c r="C173" s="8"/>
      <c r="D173" s="8"/>
      <c r="E173" s="8"/>
      <c r="F173" s="182"/>
      <c r="G173" s="8"/>
    </row>
    <row r="174">
      <c r="A174" s="8"/>
      <c r="B174" s="8"/>
      <c r="C174" s="8"/>
      <c r="D174" s="8"/>
      <c r="E174" s="8"/>
      <c r="F174" s="182"/>
      <c r="G174" s="8"/>
    </row>
    <row r="175">
      <c r="A175" s="8"/>
      <c r="B175" s="8"/>
      <c r="C175" s="8"/>
      <c r="D175" s="8"/>
      <c r="E175" s="8"/>
      <c r="F175" s="182"/>
      <c r="G175" s="8"/>
    </row>
    <row r="176">
      <c r="A176" s="8"/>
      <c r="B176" s="8"/>
      <c r="C176" s="8"/>
      <c r="D176" s="8"/>
      <c r="E176" s="8"/>
      <c r="F176" s="182"/>
      <c r="G176" s="8"/>
    </row>
    <row r="177">
      <c r="A177" s="8"/>
      <c r="B177" s="8"/>
      <c r="C177" s="8"/>
      <c r="D177" s="8"/>
      <c r="E177" s="8"/>
      <c r="F177" s="182"/>
      <c r="G177" s="8"/>
    </row>
    <row r="178">
      <c r="A178" s="8"/>
      <c r="B178" s="8"/>
      <c r="C178" s="8"/>
      <c r="D178" s="8"/>
      <c r="E178" s="8"/>
      <c r="F178" s="182"/>
      <c r="G178" s="8"/>
    </row>
    <row r="179">
      <c r="A179" s="8"/>
      <c r="B179" s="8"/>
      <c r="C179" s="8"/>
      <c r="D179" s="8"/>
      <c r="E179" s="8"/>
      <c r="F179" s="182"/>
      <c r="G179" s="8"/>
    </row>
    <row r="180">
      <c r="A180" s="8"/>
      <c r="B180" s="8"/>
      <c r="C180" s="8"/>
      <c r="D180" s="8"/>
      <c r="E180" s="8"/>
      <c r="F180" s="182"/>
      <c r="G180" s="8"/>
    </row>
    <row r="181">
      <c r="A181" s="8"/>
      <c r="B181" s="8"/>
      <c r="C181" s="8"/>
      <c r="D181" s="8"/>
      <c r="E181" s="8"/>
      <c r="F181" s="182"/>
      <c r="G181" s="8"/>
    </row>
    <row r="182">
      <c r="A182" s="8"/>
      <c r="B182" s="8"/>
      <c r="C182" s="8"/>
      <c r="D182" s="8"/>
      <c r="E182" s="8"/>
      <c r="F182" s="182"/>
      <c r="G182" s="8"/>
    </row>
    <row r="183">
      <c r="A183" s="8"/>
      <c r="B183" s="8"/>
      <c r="C183" s="8"/>
      <c r="D183" s="8"/>
      <c r="E183" s="8"/>
      <c r="F183" s="182"/>
      <c r="G183" s="8"/>
    </row>
    <row r="184">
      <c r="A184" s="8"/>
      <c r="B184" s="8"/>
      <c r="C184" s="8"/>
      <c r="D184" s="8"/>
      <c r="E184" s="8"/>
      <c r="F184" s="182"/>
      <c r="G184" s="8"/>
    </row>
    <row r="185">
      <c r="A185" s="8"/>
      <c r="B185" s="8"/>
      <c r="C185" s="8"/>
      <c r="D185" s="8"/>
      <c r="E185" s="8"/>
      <c r="F185" s="182"/>
      <c r="G185" s="8"/>
    </row>
    <row r="186">
      <c r="A186" s="8"/>
      <c r="B186" s="8"/>
      <c r="C186" s="8"/>
      <c r="D186" s="8"/>
      <c r="E186" s="8"/>
      <c r="F186" s="182"/>
      <c r="G186" s="8"/>
    </row>
    <row r="187">
      <c r="A187" s="8"/>
      <c r="B187" s="8"/>
      <c r="C187" s="8"/>
      <c r="D187" s="8"/>
      <c r="E187" s="8"/>
      <c r="F187" s="182"/>
      <c r="G187" s="8"/>
    </row>
    <row r="188">
      <c r="A188" s="8"/>
      <c r="B188" s="8"/>
      <c r="C188" s="8"/>
      <c r="D188" s="8"/>
      <c r="E188" s="8"/>
      <c r="F188" s="182"/>
      <c r="G188" s="8"/>
    </row>
    <row r="189">
      <c r="A189" s="8"/>
      <c r="B189" s="8"/>
      <c r="C189" s="8"/>
      <c r="D189" s="8"/>
      <c r="E189" s="8"/>
      <c r="F189" s="182"/>
      <c r="G189" s="8"/>
    </row>
    <row r="190">
      <c r="A190" s="8"/>
      <c r="B190" s="8"/>
      <c r="C190" s="8"/>
      <c r="D190" s="8"/>
      <c r="E190" s="8"/>
      <c r="F190" s="182"/>
      <c r="G190" s="8"/>
    </row>
    <row r="191">
      <c r="A191" s="8"/>
      <c r="B191" s="8"/>
      <c r="C191" s="8"/>
      <c r="D191" s="8"/>
      <c r="E191" s="8"/>
      <c r="F191" s="182"/>
      <c r="G191" s="8"/>
    </row>
    <row r="192">
      <c r="A192" s="8"/>
      <c r="B192" s="8"/>
      <c r="C192" s="8"/>
      <c r="D192" s="8"/>
      <c r="E192" s="8"/>
      <c r="F192" s="182"/>
      <c r="G192" s="8"/>
    </row>
    <row r="193">
      <c r="A193" s="8"/>
      <c r="B193" s="8"/>
      <c r="C193" s="8"/>
      <c r="D193" s="8"/>
      <c r="E193" s="8"/>
      <c r="F193" s="182"/>
      <c r="G193" s="8"/>
    </row>
    <row r="194">
      <c r="A194" s="8"/>
      <c r="B194" s="8"/>
      <c r="C194" s="8"/>
      <c r="D194" s="8"/>
      <c r="E194" s="8"/>
      <c r="F194" s="182"/>
      <c r="G194" s="8"/>
    </row>
    <row r="195">
      <c r="A195" s="8"/>
      <c r="B195" s="8"/>
      <c r="C195" s="8"/>
      <c r="D195" s="8"/>
      <c r="E195" s="8"/>
      <c r="F195" s="182"/>
      <c r="G195" s="8"/>
    </row>
    <row r="196">
      <c r="A196" s="8"/>
      <c r="B196" s="8"/>
      <c r="C196" s="8"/>
      <c r="D196" s="8"/>
      <c r="E196" s="8"/>
      <c r="F196" s="182"/>
      <c r="G196" s="8"/>
    </row>
    <row r="197">
      <c r="A197" s="8"/>
      <c r="B197" s="8"/>
      <c r="C197" s="8"/>
      <c r="D197" s="8"/>
      <c r="E197" s="8"/>
      <c r="F197" s="182"/>
      <c r="G197" s="8"/>
    </row>
    <row r="198">
      <c r="A198" s="8"/>
      <c r="B198" s="8"/>
      <c r="C198" s="8"/>
      <c r="D198" s="8"/>
      <c r="E198" s="8"/>
      <c r="F198" s="182"/>
      <c r="G198" s="8"/>
    </row>
    <row r="199">
      <c r="A199" s="8"/>
      <c r="B199" s="8"/>
      <c r="C199" s="8"/>
      <c r="D199" s="8"/>
      <c r="E199" s="8"/>
      <c r="F199" s="182"/>
      <c r="G199" s="8"/>
    </row>
    <row r="200">
      <c r="A200" s="8"/>
      <c r="B200" s="8"/>
      <c r="C200" s="8"/>
      <c r="D200" s="8"/>
      <c r="E200" s="8"/>
      <c r="F200" s="182"/>
      <c r="G200" s="8"/>
    </row>
    <row r="201">
      <c r="A201" s="8"/>
      <c r="B201" s="8"/>
      <c r="C201" s="8"/>
      <c r="D201" s="8"/>
      <c r="E201" s="8"/>
      <c r="F201" s="182"/>
      <c r="G201" s="8"/>
    </row>
    <row r="202">
      <c r="A202" s="8"/>
      <c r="B202" s="8"/>
      <c r="C202" s="8"/>
      <c r="D202" s="8"/>
      <c r="E202" s="8"/>
      <c r="F202" s="182"/>
      <c r="G202" s="8"/>
    </row>
    <row r="203">
      <c r="A203" s="8"/>
      <c r="B203" s="8"/>
      <c r="C203" s="8"/>
      <c r="D203" s="8"/>
      <c r="E203" s="8"/>
      <c r="F203" s="182"/>
      <c r="G203" s="8"/>
    </row>
    <row r="204">
      <c r="A204" s="8"/>
      <c r="B204" s="8"/>
      <c r="C204" s="8"/>
      <c r="D204" s="8"/>
      <c r="E204" s="8"/>
      <c r="F204" s="182"/>
      <c r="G204" s="8"/>
    </row>
    <row r="205">
      <c r="A205" s="8"/>
      <c r="B205" s="8"/>
      <c r="C205" s="8"/>
      <c r="D205" s="8"/>
      <c r="E205" s="8"/>
      <c r="F205" s="182"/>
      <c r="G205" s="8"/>
    </row>
    <row r="206">
      <c r="A206" s="8"/>
      <c r="B206" s="8"/>
      <c r="C206" s="8"/>
      <c r="D206" s="8"/>
      <c r="E206" s="8"/>
      <c r="F206" s="182"/>
      <c r="G206" s="8"/>
    </row>
    <row r="207">
      <c r="A207" s="8"/>
      <c r="B207" s="8"/>
      <c r="C207" s="8"/>
      <c r="D207" s="8"/>
      <c r="E207" s="8"/>
      <c r="F207" s="182"/>
      <c r="G207" s="8"/>
    </row>
    <row r="208">
      <c r="A208" s="8"/>
      <c r="B208" s="8"/>
      <c r="C208" s="8"/>
      <c r="D208" s="8"/>
      <c r="E208" s="8"/>
      <c r="F208" s="182"/>
      <c r="G208" s="8"/>
    </row>
    <row r="209">
      <c r="A209" s="8"/>
      <c r="B209" s="8"/>
      <c r="C209" s="8"/>
      <c r="D209" s="8"/>
      <c r="E209" s="8"/>
      <c r="F209" s="182"/>
      <c r="G209" s="8"/>
    </row>
    <row r="210">
      <c r="A210" s="8"/>
      <c r="B210" s="8"/>
      <c r="C210" s="8"/>
      <c r="D210" s="8"/>
      <c r="E210" s="8"/>
      <c r="F210" s="182"/>
      <c r="G210" s="8"/>
    </row>
    <row r="211">
      <c r="A211" s="8"/>
      <c r="B211" s="8"/>
      <c r="C211" s="8"/>
      <c r="D211" s="8"/>
      <c r="E211" s="8"/>
      <c r="F211" s="182"/>
      <c r="G211" s="8"/>
    </row>
    <row r="212">
      <c r="A212" s="8"/>
      <c r="B212" s="8"/>
      <c r="C212" s="8"/>
      <c r="D212" s="8"/>
      <c r="E212" s="8"/>
      <c r="F212" s="182"/>
      <c r="G212" s="8"/>
    </row>
    <row r="213">
      <c r="A213" s="8"/>
      <c r="B213" s="8"/>
      <c r="C213" s="8"/>
      <c r="D213" s="8"/>
      <c r="E213" s="8"/>
      <c r="F213" s="182"/>
      <c r="G213" s="8"/>
    </row>
    <row r="214">
      <c r="A214" s="8"/>
      <c r="B214" s="8"/>
      <c r="C214" s="8"/>
      <c r="D214" s="8"/>
      <c r="E214" s="8"/>
      <c r="F214" s="182"/>
      <c r="G214" s="8"/>
    </row>
    <row r="215">
      <c r="A215" s="8"/>
      <c r="B215" s="8"/>
      <c r="C215" s="8"/>
      <c r="D215" s="8"/>
      <c r="E215" s="8"/>
      <c r="F215" s="182"/>
      <c r="G215" s="8"/>
    </row>
    <row r="216">
      <c r="A216" s="8"/>
      <c r="B216" s="8"/>
      <c r="C216" s="8"/>
      <c r="D216" s="8"/>
      <c r="E216" s="8"/>
      <c r="F216" s="182"/>
      <c r="G216" s="8"/>
    </row>
    <row r="217">
      <c r="A217" s="8"/>
      <c r="B217" s="8"/>
      <c r="C217" s="8"/>
      <c r="D217" s="8"/>
      <c r="E217" s="8"/>
      <c r="F217" s="182"/>
      <c r="G217" s="8"/>
    </row>
    <row r="218">
      <c r="A218" s="8"/>
      <c r="B218" s="8"/>
      <c r="C218" s="8"/>
      <c r="D218" s="8"/>
      <c r="E218" s="8"/>
      <c r="F218" s="182"/>
      <c r="G218" s="8"/>
    </row>
    <row r="219">
      <c r="A219" s="8"/>
      <c r="B219" s="8"/>
      <c r="C219" s="8"/>
      <c r="D219" s="8"/>
      <c r="E219" s="8"/>
      <c r="F219" s="182"/>
      <c r="G219" s="8"/>
    </row>
    <row r="220">
      <c r="A220" s="8"/>
      <c r="B220" s="8"/>
      <c r="C220" s="8"/>
      <c r="D220" s="8"/>
      <c r="E220" s="8"/>
      <c r="F220" s="182"/>
      <c r="G220" s="8"/>
    </row>
    <row r="221">
      <c r="A221" s="8"/>
      <c r="B221" s="8"/>
      <c r="C221" s="8"/>
      <c r="D221" s="8"/>
      <c r="E221" s="8"/>
      <c r="F221" s="182"/>
      <c r="G221" s="8"/>
    </row>
    <row r="222">
      <c r="A222" s="8"/>
      <c r="B222" s="8"/>
      <c r="C222" s="8"/>
      <c r="D222" s="8"/>
      <c r="E222" s="8"/>
      <c r="F222" s="182"/>
      <c r="G222" s="8"/>
    </row>
    <row r="223">
      <c r="A223" s="8"/>
      <c r="B223" s="8"/>
      <c r="C223" s="8"/>
      <c r="D223" s="8"/>
      <c r="E223" s="8"/>
      <c r="F223" s="182"/>
      <c r="G223" s="8"/>
    </row>
    <row r="224">
      <c r="A224" s="8"/>
      <c r="B224" s="8"/>
      <c r="C224" s="8"/>
      <c r="D224" s="8"/>
      <c r="E224" s="8"/>
      <c r="F224" s="182"/>
      <c r="G224" s="8"/>
    </row>
    <row r="225">
      <c r="A225" s="8"/>
      <c r="B225" s="8"/>
      <c r="C225" s="8"/>
      <c r="D225" s="8"/>
      <c r="E225" s="8"/>
      <c r="F225" s="182"/>
      <c r="G225" s="8"/>
    </row>
    <row r="226">
      <c r="A226" s="8"/>
      <c r="B226" s="8"/>
      <c r="C226" s="8"/>
      <c r="D226" s="8"/>
      <c r="E226" s="8"/>
      <c r="F226" s="182"/>
      <c r="G226" s="8"/>
    </row>
    <row r="227">
      <c r="A227" s="8"/>
      <c r="B227" s="8"/>
      <c r="C227" s="8"/>
      <c r="D227" s="8"/>
      <c r="E227" s="8"/>
      <c r="F227" s="182"/>
      <c r="G227" s="8"/>
    </row>
    <row r="228">
      <c r="A228" s="8"/>
      <c r="B228" s="8"/>
      <c r="C228" s="8"/>
      <c r="D228" s="8"/>
      <c r="E228" s="8"/>
      <c r="F228" s="182"/>
      <c r="G228" s="8"/>
    </row>
    <row r="229">
      <c r="A229" s="8"/>
      <c r="B229" s="8"/>
      <c r="C229" s="8"/>
      <c r="D229" s="8"/>
      <c r="E229" s="8"/>
      <c r="F229" s="182"/>
      <c r="G229" s="8"/>
    </row>
    <row r="230">
      <c r="A230" s="8"/>
      <c r="B230" s="8"/>
      <c r="C230" s="8"/>
      <c r="D230" s="8"/>
      <c r="E230" s="8"/>
      <c r="F230" s="182"/>
      <c r="G230" s="8"/>
    </row>
    <row r="231">
      <c r="A231" s="8"/>
      <c r="B231" s="8"/>
      <c r="C231" s="8"/>
      <c r="D231" s="8"/>
      <c r="E231" s="8"/>
      <c r="F231" s="182"/>
      <c r="G231" s="8"/>
    </row>
    <row r="232">
      <c r="A232" s="8"/>
      <c r="B232" s="8"/>
      <c r="C232" s="8"/>
      <c r="D232" s="8"/>
      <c r="E232" s="8"/>
      <c r="F232" s="182"/>
      <c r="G232" s="8"/>
    </row>
    <row r="233">
      <c r="A233" s="8"/>
      <c r="B233" s="8"/>
      <c r="C233" s="8"/>
      <c r="D233" s="8"/>
      <c r="E233" s="8"/>
      <c r="F233" s="182"/>
      <c r="G233" s="8"/>
    </row>
    <row r="234">
      <c r="A234" s="8"/>
      <c r="B234" s="8"/>
      <c r="C234" s="8"/>
      <c r="D234" s="8"/>
      <c r="E234" s="8"/>
      <c r="F234" s="182"/>
      <c r="G234" s="8"/>
    </row>
    <row r="235">
      <c r="A235" s="8"/>
      <c r="B235" s="8"/>
      <c r="C235" s="8"/>
      <c r="D235" s="8"/>
      <c r="E235" s="8"/>
      <c r="F235" s="182"/>
      <c r="G235" s="8"/>
    </row>
    <row r="236">
      <c r="A236" s="8"/>
      <c r="B236" s="8"/>
      <c r="C236" s="8"/>
      <c r="D236" s="8"/>
      <c r="E236" s="8"/>
      <c r="F236" s="182"/>
      <c r="G236" s="8"/>
    </row>
    <row r="237">
      <c r="A237" s="8"/>
      <c r="B237" s="8"/>
      <c r="C237" s="8"/>
      <c r="D237" s="8"/>
      <c r="E237" s="8"/>
      <c r="F237" s="182"/>
      <c r="G237" s="8"/>
    </row>
    <row r="238">
      <c r="A238" s="8"/>
      <c r="B238" s="8"/>
      <c r="C238" s="8"/>
      <c r="D238" s="8"/>
      <c r="E238" s="8"/>
      <c r="F238" s="182"/>
      <c r="G238" s="8"/>
    </row>
    <row r="239">
      <c r="A239" s="8"/>
      <c r="B239" s="8"/>
      <c r="C239" s="8"/>
      <c r="D239" s="8"/>
      <c r="E239" s="8"/>
      <c r="F239" s="182"/>
      <c r="G239" s="8"/>
    </row>
    <row r="240">
      <c r="A240" s="8"/>
      <c r="B240" s="8"/>
      <c r="C240" s="8"/>
      <c r="D240" s="8"/>
      <c r="E240" s="8"/>
      <c r="F240" s="182"/>
      <c r="G240" s="8"/>
    </row>
    <row r="241">
      <c r="A241" s="8"/>
      <c r="B241" s="8"/>
      <c r="C241" s="8"/>
      <c r="D241" s="8"/>
      <c r="E241" s="8"/>
      <c r="F241" s="182"/>
      <c r="G241" s="8"/>
    </row>
    <row r="242">
      <c r="A242" s="8"/>
      <c r="B242" s="8"/>
      <c r="C242" s="8"/>
      <c r="D242" s="8"/>
      <c r="E242" s="8"/>
      <c r="F242" s="182"/>
      <c r="G242" s="8"/>
    </row>
    <row r="243">
      <c r="A243" s="8"/>
      <c r="B243" s="8"/>
      <c r="C243" s="8"/>
      <c r="D243" s="8"/>
      <c r="E243" s="8"/>
      <c r="F243" s="182"/>
      <c r="G243" s="8"/>
    </row>
    <row r="244">
      <c r="A244" s="8"/>
      <c r="B244" s="8"/>
      <c r="C244" s="8"/>
      <c r="D244" s="8"/>
      <c r="E244" s="8"/>
      <c r="F244" s="182"/>
      <c r="G244" s="8"/>
    </row>
    <row r="245">
      <c r="A245" s="8"/>
      <c r="B245" s="8"/>
      <c r="C245" s="8"/>
      <c r="D245" s="8"/>
      <c r="E245" s="8"/>
      <c r="F245" s="182"/>
      <c r="G245" s="8"/>
    </row>
    <row r="246">
      <c r="A246" s="8"/>
      <c r="B246" s="8"/>
      <c r="C246" s="8"/>
      <c r="D246" s="8"/>
      <c r="E246" s="8"/>
      <c r="F246" s="182"/>
      <c r="G246" s="8"/>
    </row>
    <row r="247">
      <c r="A247" s="8"/>
      <c r="B247" s="8"/>
      <c r="C247" s="8"/>
      <c r="D247" s="8"/>
      <c r="E247" s="8"/>
      <c r="F247" s="182"/>
      <c r="G247" s="8"/>
    </row>
    <row r="248">
      <c r="A248" s="8"/>
      <c r="B248" s="8"/>
      <c r="C248" s="8"/>
      <c r="D248" s="8"/>
      <c r="E248" s="8"/>
      <c r="F248" s="182"/>
      <c r="G248" s="8"/>
    </row>
    <row r="249">
      <c r="A249" s="8"/>
      <c r="B249" s="8"/>
      <c r="C249" s="8"/>
      <c r="D249" s="8"/>
      <c r="E249" s="8"/>
      <c r="F249" s="182"/>
      <c r="G249" s="8"/>
    </row>
    <row r="250">
      <c r="A250" s="8"/>
      <c r="B250" s="8"/>
      <c r="C250" s="8"/>
      <c r="D250" s="8"/>
      <c r="E250" s="8"/>
      <c r="F250" s="182"/>
      <c r="G250" s="8"/>
    </row>
    <row r="251">
      <c r="A251" s="8"/>
      <c r="B251" s="8"/>
      <c r="C251" s="8"/>
      <c r="D251" s="8"/>
      <c r="E251" s="8"/>
      <c r="F251" s="182"/>
      <c r="G251" s="8"/>
    </row>
    <row r="252">
      <c r="A252" s="8"/>
      <c r="B252" s="8"/>
      <c r="C252" s="8"/>
      <c r="D252" s="8"/>
      <c r="E252" s="8"/>
      <c r="F252" s="182"/>
      <c r="G252" s="8"/>
    </row>
    <row r="253">
      <c r="A253" s="8"/>
      <c r="B253" s="8"/>
      <c r="C253" s="8"/>
      <c r="D253" s="8"/>
      <c r="E253" s="8"/>
      <c r="F253" s="182"/>
      <c r="G253" s="8"/>
    </row>
    <row r="254">
      <c r="A254" s="8"/>
      <c r="B254" s="8"/>
      <c r="C254" s="8"/>
      <c r="D254" s="8"/>
      <c r="E254" s="8"/>
      <c r="F254" s="182"/>
      <c r="G254" s="8"/>
    </row>
    <row r="255">
      <c r="A255" s="8"/>
      <c r="B255" s="8"/>
      <c r="C255" s="8"/>
      <c r="D255" s="8"/>
      <c r="E255" s="8"/>
      <c r="F255" s="182"/>
      <c r="G255" s="8"/>
    </row>
    <row r="256">
      <c r="A256" s="8"/>
      <c r="B256" s="8"/>
      <c r="C256" s="8"/>
      <c r="D256" s="8"/>
      <c r="E256" s="8"/>
      <c r="F256" s="182"/>
      <c r="G256" s="8"/>
    </row>
    <row r="257">
      <c r="A257" s="8"/>
      <c r="B257" s="8"/>
      <c r="C257" s="8"/>
      <c r="D257" s="8"/>
      <c r="E257" s="8"/>
      <c r="F257" s="182"/>
      <c r="G257" s="8"/>
    </row>
    <row r="258">
      <c r="A258" s="8"/>
      <c r="B258" s="8"/>
      <c r="C258" s="8"/>
      <c r="D258" s="8"/>
      <c r="E258" s="8"/>
      <c r="F258" s="182"/>
      <c r="G258" s="8"/>
    </row>
    <row r="259">
      <c r="A259" s="8"/>
      <c r="B259" s="8"/>
      <c r="C259" s="8"/>
      <c r="D259" s="8"/>
      <c r="E259" s="8"/>
      <c r="F259" s="182"/>
      <c r="G259" s="8"/>
    </row>
    <row r="260">
      <c r="A260" s="8"/>
      <c r="B260" s="8"/>
      <c r="C260" s="8"/>
      <c r="D260" s="8"/>
      <c r="E260" s="8"/>
      <c r="F260" s="182"/>
      <c r="G260" s="8"/>
    </row>
    <row r="261">
      <c r="A261" s="8"/>
      <c r="B261" s="8"/>
      <c r="C261" s="8"/>
      <c r="D261" s="8"/>
      <c r="E261" s="8"/>
      <c r="F261" s="182"/>
      <c r="G261" s="8"/>
    </row>
    <row r="262">
      <c r="A262" s="8"/>
      <c r="B262" s="8"/>
      <c r="C262" s="8"/>
      <c r="D262" s="8"/>
      <c r="E262" s="8"/>
      <c r="F262" s="182"/>
      <c r="G262" s="8"/>
    </row>
    <row r="263">
      <c r="A263" s="8"/>
      <c r="B263" s="8"/>
      <c r="C263" s="8"/>
      <c r="D263" s="8"/>
      <c r="E263" s="8"/>
      <c r="F263" s="182"/>
      <c r="G263" s="8"/>
    </row>
    <row r="264">
      <c r="A264" s="8"/>
      <c r="B264" s="8"/>
      <c r="C264" s="8"/>
      <c r="D264" s="8"/>
      <c r="E264" s="8"/>
      <c r="F264" s="182"/>
      <c r="G264" s="8"/>
    </row>
    <row r="265">
      <c r="A265" s="8"/>
      <c r="B265" s="8"/>
      <c r="C265" s="8"/>
      <c r="D265" s="8"/>
      <c r="E265" s="8"/>
      <c r="F265" s="182"/>
      <c r="G265" s="8"/>
    </row>
    <row r="266">
      <c r="A266" s="8"/>
      <c r="B266" s="8"/>
      <c r="C266" s="8"/>
      <c r="D266" s="8"/>
      <c r="E266" s="8"/>
      <c r="F266" s="182"/>
      <c r="G266" s="8"/>
    </row>
    <row r="267">
      <c r="A267" s="8"/>
      <c r="B267" s="8"/>
      <c r="C267" s="8"/>
      <c r="D267" s="8"/>
      <c r="E267" s="8"/>
      <c r="F267" s="182"/>
      <c r="G267" s="8"/>
    </row>
    <row r="268">
      <c r="A268" s="8"/>
      <c r="B268" s="8"/>
      <c r="C268" s="8"/>
      <c r="D268" s="8"/>
      <c r="E268" s="8"/>
      <c r="F268" s="182"/>
      <c r="G268" s="8"/>
    </row>
    <row r="269">
      <c r="A269" s="8"/>
      <c r="B269" s="8"/>
      <c r="C269" s="8"/>
      <c r="D269" s="8"/>
      <c r="E269" s="8"/>
      <c r="F269" s="182"/>
      <c r="G269" s="8"/>
    </row>
    <row r="270">
      <c r="A270" s="8"/>
      <c r="B270" s="8"/>
      <c r="C270" s="8"/>
      <c r="D270" s="8"/>
      <c r="E270" s="8"/>
      <c r="F270" s="182"/>
      <c r="G270" s="8"/>
    </row>
    <row r="271">
      <c r="A271" s="8"/>
      <c r="B271" s="8"/>
      <c r="C271" s="8"/>
      <c r="D271" s="8"/>
      <c r="E271" s="8"/>
      <c r="F271" s="182"/>
      <c r="G271" s="8"/>
    </row>
    <row r="272">
      <c r="A272" s="8"/>
      <c r="B272" s="8"/>
      <c r="C272" s="8"/>
      <c r="D272" s="8"/>
      <c r="E272" s="8"/>
      <c r="F272" s="182"/>
      <c r="G272" s="8"/>
    </row>
    <row r="273">
      <c r="A273" s="8"/>
      <c r="B273" s="8"/>
      <c r="C273" s="8"/>
      <c r="D273" s="8"/>
      <c r="E273" s="8"/>
      <c r="F273" s="182"/>
      <c r="G273" s="8"/>
    </row>
    <row r="274">
      <c r="A274" s="8"/>
      <c r="B274" s="8"/>
      <c r="C274" s="8"/>
      <c r="D274" s="8"/>
      <c r="E274" s="8"/>
      <c r="F274" s="182"/>
      <c r="G274" s="8"/>
    </row>
    <row r="275">
      <c r="F275" s="205"/>
    </row>
    <row r="276">
      <c r="F276" s="205"/>
    </row>
    <row r="277">
      <c r="F277" s="205"/>
    </row>
    <row r="278">
      <c r="F278" s="205"/>
    </row>
    <row r="279">
      <c r="F279" s="205"/>
    </row>
    <row r="280">
      <c r="F280" s="205"/>
    </row>
    <row r="281">
      <c r="F281" s="205"/>
    </row>
    <row r="282">
      <c r="F282" s="205"/>
    </row>
    <row r="283">
      <c r="F283" s="205"/>
    </row>
    <row r="284">
      <c r="F284" s="205"/>
    </row>
    <row r="285">
      <c r="F285" s="205"/>
    </row>
    <row r="286">
      <c r="F286" s="205"/>
    </row>
    <row r="287">
      <c r="F287" s="205"/>
    </row>
    <row r="288">
      <c r="F288" s="205"/>
    </row>
    <row r="289">
      <c r="F289" s="205"/>
    </row>
    <row r="290">
      <c r="F290" s="205"/>
    </row>
    <row r="291">
      <c r="F291" s="205"/>
    </row>
    <row r="292">
      <c r="F292" s="205"/>
    </row>
    <row r="293">
      <c r="F293" s="205"/>
    </row>
    <row r="294">
      <c r="F294" s="205"/>
    </row>
    <row r="295">
      <c r="F295" s="205"/>
    </row>
    <row r="296">
      <c r="F296" s="205"/>
    </row>
    <row r="297">
      <c r="F297" s="205"/>
    </row>
    <row r="298">
      <c r="F298" s="205"/>
    </row>
    <row r="299">
      <c r="F299" s="205"/>
    </row>
    <row r="300">
      <c r="F300" s="205"/>
    </row>
    <row r="301">
      <c r="F301" s="205"/>
    </row>
    <row r="302">
      <c r="F302" s="205"/>
    </row>
    <row r="303">
      <c r="F303" s="205"/>
    </row>
    <row r="304">
      <c r="F304" s="205"/>
    </row>
    <row r="305">
      <c r="F305" s="205"/>
    </row>
    <row r="306">
      <c r="F306" s="205"/>
    </row>
    <row r="307">
      <c r="F307" s="205"/>
    </row>
    <row r="308">
      <c r="F308" s="205"/>
    </row>
    <row r="309">
      <c r="F309" s="205"/>
    </row>
    <row r="310">
      <c r="F310" s="205"/>
    </row>
    <row r="311">
      <c r="F311" s="205"/>
    </row>
    <row r="312">
      <c r="F312" s="205"/>
    </row>
    <row r="313">
      <c r="F313" s="205"/>
    </row>
    <row r="314">
      <c r="F314" s="205"/>
    </row>
    <row r="315">
      <c r="F315" s="205"/>
    </row>
    <row r="316">
      <c r="F316" s="205"/>
    </row>
    <row r="317">
      <c r="F317" s="205"/>
    </row>
    <row r="318">
      <c r="F318" s="205"/>
    </row>
    <row r="319">
      <c r="F319" s="205"/>
    </row>
    <row r="320">
      <c r="F320" s="205"/>
    </row>
    <row r="321">
      <c r="F321" s="205"/>
    </row>
    <row r="322">
      <c r="F322" s="205"/>
    </row>
    <row r="323">
      <c r="F323" s="205"/>
    </row>
    <row r="324">
      <c r="F324" s="205"/>
    </row>
    <row r="325">
      <c r="F325" s="205"/>
    </row>
    <row r="326">
      <c r="F326" s="205"/>
    </row>
    <row r="327">
      <c r="F327" s="205"/>
    </row>
    <row r="328">
      <c r="F328" s="205"/>
    </row>
    <row r="329">
      <c r="F329" s="205"/>
    </row>
    <row r="330">
      <c r="F330" s="205"/>
    </row>
    <row r="331">
      <c r="F331" s="205"/>
    </row>
    <row r="332">
      <c r="F332" s="205"/>
    </row>
    <row r="333">
      <c r="F333" s="205"/>
    </row>
    <row r="334">
      <c r="F334" s="205"/>
    </row>
    <row r="335">
      <c r="F335" s="205"/>
    </row>
    <row r="336">
      <c r="F336" s="205"/>
    </row>
    <row r="337">
      <c r="F337" s="205"/>
    </row>
    <row r="338">
      <c r="F338" s="205"/>
    </row>
    <row r="339">
      <c r="F339" s="205"/>
    </row>
    <row r="340">
      <c r="F340" s="205"/>
    </row>
    <row r="341">
      <c r="F341" s="205"/>
    </row>
    <row r="342">
      <c r="F342" s="205"/>
    </row>
    <row r="343">
      <c r="F343" s="205"/>
    </row>
    <row r="344">
      <c r="F344" s="205"/>
    </row>
    <row r="345">
      <c r="F345" s="205"/>
    </row>
    <row r="346">
      <c r="F346" s="205"/>
    </row>
    <row r="347">
      <c r="F347" s="205"/>
    </row>
    <row r="348">
      <c r="F348" s="205"/>
    </row>
    <row r="349">
      <c r="F349" s="205"/>
    </row>
    <row r="350">
      <c r="F350" s="205"/>
    </row>
    <row r="351">
      <c r="F351" s="205"/>
    </row>
    <row r="352">
      <c r="F352" s="205"/>
    </row>
    <row r="353">
      <c r="F353" s="205"/>
    </row>
    <row r="354">
      <c r="F354" s="205"/>
    </row>
    <row r="355">
      <c r="F355" s="205"/>
    </row>
    <row r="356">
      <c r="F356" s="205"/>
    </row>
    <row r="357">
      <c r="F357" s="205"/>
    </row>
    <row r="358">
      <c r="F358" s="205"/>
    </row>
    <row r="359">
      <c r="F359" s="205"/>
    </row>
    <row r="360">
      <c r="F360" s="205"/>
    </row>
    <row r="361">
      <c r="F361" s="205"/>
    </row>
    <row r="362">
      <c r="F362" s="205"/>
    </row>
    <row r="363">
      <c r="F363" s="205"/>
    </row>
    <row r="364">
      <c r="F364" s="205"/>
    </row>
    <row r="365">
      <c r="F365" s="205"/>
    </row>
    <row r="366">
      <c r="F366" s="205"/>
    </row>
    <row r="367">
      <c r="F367" s="205"/>
    </row>
    <row r="368">
      <c r="F368" s="205"/>
    </row>
    <row r="369">
      <c r="F369" s="205"/>
    </row>
    <row r="370">
      <c r="F370" s="205"/>
    </row>
    <row r="371">
      <c r="F371" s="205"/>
    </row>
    <row r="372">
      <c r="F372" s="205"/>
    </row>
    <row r="373">
      <c r="F373" s="205"/>
    </row>
    <row r="374">
      <c r="F374" s="205"/>
    </row>
    <row r="375">
      <c r="F375" s="205"/>
    </row>
    <row r="376">
      <c r="F376" s="205"/>
    </row>
    <row r="377">
      <c r="F377" s="205"/>
    </row>
    <row r="378">
      <c r="F378" s="205"/>
    </row>
    <row r="379">
      <c r="F379" s="205"/>
    </row>
    <row r="380">
      <c r="F380" s="205"/>
    </row>
    <row r="381">
      <c r="F381" s="205"/>
    </row>
    <row r="382">
      <c r="F382" s="205"/>
    </row>
    <row r="383">
      <c r="F383" s="205"/>
    </row>
    <row r="384">
      <c r="F384" s="205"/>
    </row>
    <row r="385">
      <c r="F385" s="205"/>
    </row>
    <row r="386">
      <c r="F386" s="205"/>
    </row>
    <row r="387">
      <c r="F387" s="205"/>
    </row>
    <row r="388">
      <c r="F388" s="205"/>
    </row>
    <row r="389">
      <c r="F389" s="205"/>
    </row>
    <row r="390">
      <c r="F390" s="205"/>
    </row>
    <row r="391">
      <c r="F391" s="205"/>
    </row>
    <row r="392">
      <c r="F392" s="205"/>
    </row>
    <row r="393">
      <c r="F393" s="205"/>
    </row>
    <row r="394">
      <c r="F394" s="205"/>
    </row>
    <row r="395">
      <c r="F395" s="205"/>
    </row>
    <row r="396">
      <c r="F396" s="205"/>
    </row>
    <row r="397">
      <c r="F397" s="205"/>
    </row>
    <row r="398">
      <c r="F398" s="205"/>
    </row>
    <row r="399">
      <c r="F399" s="205"/>
    </row>
    <row r="400">
      <c r="F400" s="205"/>
    </row>
    <row r="401">
      <c r="F401" s="205"/>
    </row>
    <row r="402">
      <c r="F402" s="205"/>
    </row>
    <row r="403">
      <c r="F403" s="205"/>
    </row>
    <row r="404">
      <c r="F404" s="205"/>
    </row>
    <row r="405">
      <c r="F405" s="205"/>
    </row>
    <row r="406">
      <c r="F406" s="205"/>
    </row>
    <row r="407">
      <c r="F407" s="205"/>
    </row>
    <row r="408">
      <c r="F408" s="205"/>
    </row>
    <row r="409">
      <c r="F409" s="205"/>
    </row>
    <row r="410">
      <c r="F410" s="205"/>
    </row>
    <row r="411">
      <c r="F411" s="205"/>
    </row>
    <row r="412">
      <c r="F412" s="205"/>
    </row>
    <row r="413">
      <c r="F413" s="205"/>
    </row>
    <row r="414">
      <c r="F414" s="205"/>
    </row>
    <row r="415">
      <c r="F415" s="205"/>
    </row>
    <row r="416">
      <c r="F416" s="205"/>
    </row>
    <row r="417">
      <c r="F417" s="205"/>
    </row>
    <row r="418">
      <c r="F418" s="205"/>
    </row>
    <row r="419">
      <c r="F419" s="205"/>
    </row>
    <row r="420">
      <c r="F420" s="205"/>
    </row>
    <row r="421">
      <c r="F421" s="205"/>
    </row>
    <row r="422">
      <c r="F422" s="205"/>
    </row>
    <row r="423">
      <c r="F423" s="205"/>
    </row>
    <row r="424">
      <c r="F424" s="205"/>
    </row>
    <row r="425">
      <c r="F425" s="205"/>
    </row>
    <row r="426">
      <c r="F426" s="205"/>
    </row>
    <row r="427">
      <c r="F427" s="205"/>
    </row>
    <row r="428">
      <c r="F428" s="205"/>
    </row>
    <row r="429">
      <c r="F429" s="205"/>
    </row>
    <row r="430">
      <c r="F430" s="205"/>
    </row>
    <row r="431">
      <c r="F431" s="205"/>
    </row>
    <row r="432">
      <c r="F432" s="205"/>
    </row>
    <row r="433">
      <c r="F433" s="205"/>
    </row>
    <row r="434">
      <c r="F434" s="205"/>
    </row>
    <row r="435">
      <c r="F435" s="205"/>
    </row>
    <row r="436">
      <c r="F436" s="205"/>
    </row>
    <row r="437">
      <c r="F437" s="205"/>
    </row>
    <row r="438">
      <c r="F438" s="205"/>
    </row>
    <row r="439">
      <c r="F439" s="205"/>
    </row>
    <row r="440">
      <c r="F440" s="205"/>
    </row>
    <row r="441">
      <c r="F441" s="205"/>
    </row>
    <row r="442">
      <c r="F442" s="205"/>
    </row>
    <row r="443">
      <c r="F443" s="205"/>
    </row>
    <row r="444">
      <c r="F444" s="205"/>
    </row>
    <row r="445">
      <c r="F445" s="205"/>
    </row>
    <row r="446">
      <c r="F446" s="205"/>
    </row>
    <row r="447">
      <c r="F447" s="205"/>
    </row>
    <row r="448">
      <c r="F448" s="205"/>
    </row>
    <row r="449">
      <c r="F449" s="205"/>
    </row>
    <row r="450">
      <c r="F450" s="205"/>
    </row>
    <row r="451">
      <c r="F451" s="205"/>
    </row>
    <row r="452">
      <c r="F452" s="205"/>
    </row>
    <row r="453">
      <c r="F453" s="205"/>
    </row>
    <row r="454">
      <c r="F454" s="205"/>
    </row>
    <row r="455">
      <c r="F455" s="205"/>
    </row>
    <row r="456">
      <c r="F456" s="205"/>
    </row>
    <row r="457">
      <c r="F457" s="205"/>
    </row>
    <row r="458">
      <c r="F458" s="205"/>
    </row>
    <row r="459">
      <c r="F459" s="205"/>
    </row>
    <row r="460">
      <c r="F460" s="205"/>
    </row>
    <row r="461">
      <c r="F461" s="205"/>
    </row>
    <row r="462">
      <c r="F462" s="205"/>
    </row>
    <row r="463">
      <c r="F463" s="205"/>
    </row>
    <row r="464">
      <c r="F464" s="205"/>
    </row>
    <row r="465">
      <c r="F465" s="205"/>
    </row>
    <row r="466">
      <c r="F466" s="205"/>
    </row>
    <row r="467">
      <c r="F467" s="205"/>
    </row>
    <row r="468">
      <c r="F468" s="205"/>
    </row>
    <row r="469">
      <c r="F469" s="205"/>
    </row>
    <row r="470">
      <c r="F470" s="205"/>
    </row>
    <row r="471">
      <c r="F471" s="205"/>
    </row>
    <row r="472">
      <c r="F472" s="205"/>
    </row>
    <row r="473">
      <c r="F473" s="205"/>
    </row>
    <row r="474">
      <c r="F474" s="205"/>
    </row>
    <row r="475">
      <c r="F475" s="205"/>
    </row>
    <row r="476">
      <c r="F476" s="205"/>
    </row>
    <row r="477">
      <c r="F477" s="205"/>
    </row>
    <row r="478">
      <c r="F478" s="205"/>
    </row>
    <row r="479">
      <c r="F479" s="205"/>
    </row>
    <row r="480">
      <c r="F480" s="205"/>
    </row>
    <row r="481">
      <c r="F481" s="205"/>
    </row>
    <row r="482">
      <c r="F482" s="205"/>
    </row>
    <row r="483">
      <c r="F483" s="205"/>
    </row>
    <row r="484">
      <c r="F484" s="205"/>
    </row>
    <row r="485">
      <c r="F485" s="205"/>
    </row>
    <row r="486">
      <c r="F486" s="205"/>
    </row>
    <row r="487">
      <c r="F487" s="205"/>
    </row>
    <row r="488">
      <c r="F488" s="205"/>
    </row>
    <row r="489">
      <c r="F489" s="205"/>
    </row>
    <row r="490">
      <c r="F490" s="205"/>
    </row>
    <row r="491">
      <c r="F491" s="205"/>
    </row>
    <row r="492">
      <c r="F492" s="205"/>
    </row>
    <row r="493">
      <c r="F493" s="205"/>
    </row>
    <row r="494">
      <c r="F494" s="205"/>
    </row>
    <row r="495">
      <c r="F495" s="205"/>
    </row>
    <row r="496">
      <c r="F496" s="205"/>
    </row>
    <row r="497">
      <c r="F497" s="205"/>
    </row>
    <row r="498">
      <c r="F498" s="205"/>
    </row>
    <row r="499">
      <c r="F499" s="205"/>
    </row>
    <row r="500">
      <c r="F500" s="205"/>
    </row>
    <row r="501">
      <c r="F501" s="205"/>
    </row>
    <row r="502">
      <c r="F502" s="205"/>
    </row>
    <row r="503">
      <c r="F503" s="205"/>
    </row>
    <row r="504">
      <c r="F504" s="205"/>
    </row>
    <row r="505">
      <c r="F505" s="205"/>
    </row>
    <row r="506">
      <c r="F506" s="205"/>
    </row>
    <row r="507">
      <c r="F507" s="205"/>
    </row>
    <row r="508">
      <c r="F508" s="205"/>
    </row>
    <row r="509">
      <c r="F509" s="205"/>
    </row>
    <row r="510">
      <c r="F510" s="205"/>
    </row>
    <row r="511">
      <c r="F511" s="205"/>
    </row>
    <row r="512">
      <c r="F512" s="205"/>
    </row>
    <row r="513">
      <c r="F513" s="205"/>
    </row>
    <row r="514">
      <c r="F514" s="205"/>
    </row>
    <row r="515">
      <c r="F515" s="205"/>
    </row>
    <row r="516">
      <c r="F516" s="205"/>
    </row>
    <row r="517">
      <c r="F517" s="205"/>
    </row>
    <row r="518">
      <c r="F518" s="205"/>
    </row>
    <row r="519">
      <c r="F519" s="205"/>
    </row>
    <row r="520">
      <c r="F520" s="205"/>
    </row>
    <row r="521">
      <c r="F521" s="205"/>
    </row>
    <row r="522">
      <c r="F522" s="205"/>
    </row>
    <row r="523">
      <c r="F523" s="205"/>
    </row>
    <row r="524">
      <c r="F524" s="205"/>
    </row>
    <row r="525">
      <c r="F525" s="205"/>
    </row>
    <row r="526">
      <c r="F526" s="205"/>
    </row>
    <row r="527">
      <c r="F527" s="205"/>
    </row>
    <row r="528">
      <c r="F528" s="205"/>
    </row>
    <row r="529">
      <c r="F529" s="205"/>
    </row>
    <row r="530">
      <c r="F530" s="205"/>
    </row>
    <row r="531">
      <c r="F531" s="205"/>
    </row>
    <row r="532">
      <c r="F532" s="205"/>
    </row>
    <row r="533">
      <c r="F533" s="205"/>
    </row>
    <row r="534">
      <c r="F534" s="205"/>
    </row>
    <row r="535">
      <c r="F535" s="205"/>
    </row>
    <row r="536">
      <c r="F536" s="205"/>
    </row>
    <row r="537">
      <c r="F537" s="205"/>
    </row>
    <row r="538">
      <c r="F538" s="205"/>
    </row>
    <row r="539">
      <c r="F539" s="205"/>
    </row>
    <row r="540">
      <c r="F540" s="205"/>
    </row>
    <row r="541">
      <c r="F541" s="205"/>
    </row>
    <row r="542">
      <c r="F542" s="205"/>
    </row>
    <row r="543">
      <c r="F543" s="205"/>
    </row>
    <row r="544">
      <c r="F544" s="205"/>
    </row>
    <row r="545">
      <c r="F545" s="205"/>
    </row>
    <row r="546">
      <c r="F546" s="205"/>
    </row>
    <row r="547">
      <c r="F547" s="205"/>
    </row>
    <row r="548">
      <c r="F548" s="205"/>
    </row>
    <row r="549">
      <c r="F549" s="205"/>
    </row>
    <row r="550">
      <c r="F550" s="205"/>
    </row>
    <row r="551">
      <c r="F551" s="205"/>
    </row>
    <row r="552">
      <c r="F552" s="205"/>
    </row>
    <row r="553">
      <c r="F553" s="205"/>
    </row>
    <row r="554">
      <c r="F554" s="205"/>
    </row>
    <row r="555">
      <c r="F555" s="205"/>
    </row>
    <row r="556">
      <c r="F556" s="205"/>
    </row>
    <row r="557">
      <c r="F557" s="205"/>
    </row>
    <row r="558">
      <c r="F558" s="205"/>
    </row>
    <row r="559">
      <c r="F559" s="205"/>
    </row>
    <row r="560">
      <c r="F560" s="205"/>
    </row>
    <row r="561">
      <c r="F561" s="205"/>
    </row>
    <row r="562">
      <c r="F562" s="205"/>
    </row>
    <row r="563">
      <c r="F563" s="205"/>
    </row>
    <row r="564">
      <c r="F564" s="205"/>
    </row>
    <row r="565">
      <c r="F565" s="205"/>
    </row>
    <row r="566">
      <c r="F566" s="205"/>
    </row>
    <row r="567">
      <c r="F567" s="205"/>
    </row>
    <row r="568">
      <c r="F568" s="205"/>
    </row>
    <row r="569">
      <c r="F569" s="205"/>
    </row>
    <row r="570">
      <c r="F570" s="205"/>
    </row>
    <row r="571">
      <c r="F571" s="205"/>
    </row>
    <row r="572">
      <c r="F572" s="205"/>
    </row>
    <row r="573">
      <c r="F573" s="205"/>
    </row>
    <row r="574">
      <c r="F574" s="205"/>
    </row>
    <row r="575">
      <c r="F575" s="205"/>
    </row>
    <row r="576">
      <c r="F576" s="205"/>
    </row>
    <row r="577">
      <c r="F577" s="205"/>
    </row>
    <row r="578">
      <c r="F578" s="205"/>
    </row>
    <row r="579">
      <c r="F579" s="205"/>
    </row>
    <row r="580">
      <c r="F580" s="205"/>
    </row>
    <row r="581">
      <c r="F581" s="205"/>
    </row>
    <row r="582">
      <c r="F582" s="205"/>
    </row>
    <row r="583">
      <c r="F583" s="205"/>
    </row>
    <row r="584">
      <c r="F584" s="205"/>
    </row>
    <row r="585">
      <c r="F585" s="205"/>
    </row>
    <row r="586">
      <c r="F586" s="205"/>
    </row>
    <row r="587">
      <c r="F587" s="205"/>
    </row>
    <row r="588">
      <c r="F588" s="205"/>
    </row>
    <row r="589">
      <c r="F589" s="205"/>
    </row>
    <row r="590">
      <c r="F590" s="205"/>
    </row>
    <row r="591">
      <c r="F591" s="205"/>
    </row>
    <row r="592">
      <c r="F592" s="205"/>
    </row>
    <row r="593">
      <c r="F593" s="205"/>
    </row>
    <row r="594">
      <c r="F594" s="205"/>
    </row>
    <row r="595">
      <c r="F595" s="205"/>
    </row>
    <row r="596">
      <c r="F596" s="205"/>
    </row>
    <row r="597">
      <c r="F597" s="205"/>
    </row>
    <row r="598">
      <c r="F598" s="205"/>
    </row>
    <row r="599">
      <c r="F599" s="205"/>
    </row>
    <row r="600">
      <c r="F600" s="205"/>
    </row>
    <row r="601">
      <c r="F601" s="205"/>
    </row>
    <row r="602">
      <c r="F602" s="205"/>
    </row>
    <row r="603">
      <c r="F603" s="205"/>
    </row>
    <row r="604">
      <c r="F604" s="205"/>
    </row>
    <row r="605">
      <c r="F605" s="205"/>
    </row>
    <row r="606">
      <c r="F606" s="205"/>
    </row>
    <row r="607">
      <c r="F607" s="205"/>
    </row>
    <row r="608">
      <c r="F608" s="205"/>
    </row>
    <row r="609">
      <c r="F609" s="205"/>
    </row>
    <row r="610">
      <c r="F610" s="205"/>
    </row>
    <row r="611">
      <c r="F611" s="205"/>
    </row>
    <row r="612">
      <c r="F612" s="205"/>
    </row>
    <row r="613">
      <c r="F613" s="205"/>
    </row>
    <row r="614">
      <c r="F614" s="205"/>
    </row>
    <row r="615">
      <c r="F615" s="205"/>
    </row>
    <row r="616">
      <c r="F616" s="205"/>
    </row>
    <row r="617">
      <c r="F617" s="205"/>
    </row>
    <row r="618">
      <c r="F618" s="205"/>
    </row>
    <row r="619">
      <c r="F619" s="205"/>
    </row>
    <row r="620">
      <c r="F620" s="205"/>
    </row>
    <row r="621">
      <c r="F621" s="205"/>
    </row>
    <row r="622">
      <c r="F622" s="205"/>
    </row>
    <row r="623">
      <c r="F623" s="205"/>
    </row>
    <row r="624">
      <c r="F624" s="205"/>
    </row>
    <row r="625">
      <c r="F625" s="205"/>
    </row>
    <row r="626">
      <c r="F626" s="205"/>
    </row>
    <row r="627">
      <c r="F627" s="205"/>
    </row>
    <row r="628">
      <c r="F628" s="205"/>
    </row>
    <row r="629">
      <c r="F629" s="205"/>
    </row>
    <row r="630">
      <c r="F630" s="205"/>
    </row>
    <row r="631">
      <c r="F631" s="205"/>
    </row>
    <row r="632">
      <c r="F632" s="205"/>
    </row>
    <row r="633">
      <c r="F633" s="205"/>
    </row>
    <row r="634">
      <c r="F634" s="205"/>
    </row>
    <row r="635">
      <c r="F635" s="205"/>
    </row>
    <row r="636">
      <c r="F636" s="205"/>
    </row>
    <row r="637">
      <c r="F637" s="205"/>
    </row>
    <row r="638">
      <c r="F638" s="205"/>
    </row>
    <row r="639">
      <c r="F639" s="205"/>
    </row>
    <row r="640">
      <c r="F640" s="205"/>
    </row>
    <row r="641">
      <c r="F641" s="205"/>
    </row>
    <row r="642">
      <c r="F642" s="205"/>
    </row>
    <row r="643">
      <c r="F643" s="205"/>
    </row>
    <row r="644">
      <c r="F644" s="205"/>
    </row>
    <row r="645">
      <c r="F645" s="205"/>
    </row>
    <row r="646">
      <c r="F646" s="205"/>
    </row>
    <row r="647">
      <c r="F647" s="205"/>
    </row>
    <row r="648">
      <c r="F648" s="205"/>
    </row>
    <row r="649">
      <c r="F649" s="205"/>
    </row>
    <row r="650">
      <c r="F650" s="205"/>
    </row>
    <row r="651">
      <c r="F651" s="205"/>
    </row>
    <row r="652">
      <c r="F652" s="205"/>
    </row>
    <row r="653">
      <c r="F653" s="205"/>
    </row>
    <row r="654">
      <c r="F654" s="205"/>
    </row>
    <row r="655">
      <c r="F655" s="205"/>
    </row>
    <row r="656">
      <c r="F656" s="205"/>
    </row>
    <row r="657">
      <c r="F657" s="205"/>
    </row>
    <row r="658">
      <c r="F658" s="205"/>
    </row>
    <row r="659">
      <c r="F659" s="205"/>
    </row>
    <row r="660">
      <c r="F660" s="205"/>
    </row>
    <row r="661">
      <c r="F661" s="205"/>
    </row>
    <row r="662">
      <c r="F662" s="205"/>
    </row>
    <row r="663">
      <c r="F663" s="205"/>
    </row>
    <row r="664">
      <c r="F664" s="205"/>
    </row>
    <row r="665">
      <c r="F665" s="205"/>
    </row>
    <row r="666">
      <c r="F666" s="205"/>
    </row>
    <row r="667">
      <c r="F667" s="205"/>
    </row>
    <row r="668">
      <c r="F668" s="205"/>
    </row>
    <row r="669">
      <c r="F669" s="205"/>
    </row>
    <row r="670">
      <c r="F670" s="205"/>
    </row>
    <row r="671">
      <c r="F671" s="205"/>
    </row>
    <row r="672">
      <c r="F672" s="205"/>
    </row>
    <row r="673">
      <c r="F673" s="205"/>
    </row>
    <row r="674">
      <c r="F674" s="205"/>
    </row>
    <row r="675">
      <c r="F675" s="205"/>
    </row>
    <row r="676">
      <c r="F676" s="205"/>
    </row>
    <row r="677">
      <c r="F677" s="205"/>
    </row>
    <row r="678">
      <c r="F678" s="205"/>
    </row>
    <row r="679">
      <c r="F679" s="205"/>
    </row>
    <row r="680">
      <c r="F680" s="205"/>
    </row>
    <row r="681">
      <c r="F681" s="205"/>
    </row>
    <row r="682">
      <c r="F682" s="205"/>
    </row>
    <row r="683">
      <c r="F683" s="205"/>
    </row>
    <row r="684">
      <c r="F684" s="205"/>
    </row>
    <row r="685">
      <c r="F685" s="205"/>
    </row>
    <row r="686">
      <c r="F686" s="205"/>
    </row>
    <row r="687">
      <c r="F687" s="205"/>
    </row>
    <row r="688">
      <c r="F688" s="205"/>
    </row>
    <row r="689">
      <c r="F689" s="205"/>
    </row>
    <row r="690">
      <c r="F690" s="205"/>
    </row>
    <row r="691">
      <c r="F691" s="205"/>
    </row>
    <row r="692">
      <c r="F692" s="205"/>
    </row>
    <row r="693">
      <c r="F693" s="205"/>
    </row>
    <row r="694">
      <c r="F694" s="205"/>
    </row>
    <row r="695">
      <c r="F695" s="205"/>
    </row>
    <row r="696">
      <c r="F696" s="205"/>
    </row>
    <row r="697">
      <c r="F697" s="205"/>
    </row>
    <row r="698">
      <c r="F698" s="205"/>
    </row>
    <row r="699">
      <c r="F699" s="205"/>
    </row>
    <row r="700">
      <c r="F700" s="205"/>
    </row>
    <row r="701">
      <c r="F701" s="205"/>
    </row>
    <row r="702">
      <c r="F702" s="205"/>
    </row>
    <row r="703">
      <c r="F703" s="205"/>
    </row>
    <row r="704">
      <c r="F704" s="205"/>
    </row>
    <row r="705">
      <c r="F705" s="205"/>
    </row>
    <row r="706">
      <c r="F706" s="205"/>
    </row>
    <row r="707">
      <c r="F707" s="205"/>
    </row>
    <row r="708">
      <c r="F708" s="205"/>
    </row>
    <row r="709">
      <c r="F709" s="205"/>
    </row>
    <row r="710">
      <c r="F710" s="205"/>
    </row>
    <row r="711">
      <c r="F711" s="205"/>
    </row>
    <row r="712">
      <c r="F712" s="205"/>
    </row>
    <row r="713">
      <c r="F713" s="205"/>
    </row>
    <row r="714">
      <c r="F714" s="205"/>
    </row>
    <row r="715">
      <c r="F715" s="205"/>
    </row>
    <row r="716">
      <c r="F716" s="205"/>
    </row>
    <row r="717">
      <c r="F717" s="205"/>
    </row>
    <row r="718">
      <c r="F718" s="205"/>
    </row>
    <row r="719">
      <c r="F719" s="205"/>
    </row>
    <row r="720">
      <c r="F720" s="205"/>
    </row>
    <row r="721">
      <c r="F721" s="205"/>
    </row>
    <row r="722">
      <c r="F722" s="205"/>
    </row>
    <row r="723">
      <c r="F723" s="205"/>
    </row>
    <row r="724">
      <c r="F724" s="205"/>
    </row>
    <row r="725">
      <c r="F725" s="205"/>
    </row>
    <row r="726">
      <c r="F726" s="205"/>
    </row>
    <row r="727">
      <c r="F727" s="205"/>
    </row>
    <row r="728">
      <c r="F728" s="205"/>
    </row>
    <row r="729">
      <c r="F729" s="205"/>
    </row>
    <row r="730">
      <c r="F730" s="205"/>
    </row>
    <row r="731">
      <c r="F731" s="205"/>
    </row>
    <row r="732">
      <c r="F732" s="205"/>
    </row>
    <row r="733">
      <c r="F733" s="205"/>
    </row>
    <row r="734">
      <c r="F734" s="205"/>
    </row>
    <row r="735">
      <c r="F735" s="205"/>
    </row>
    <row r="736">
      <c r="F736" s="205"/>
    </row>
    <row r="737">
      <c r="F737" s="205"/>
    </row>
    <row r="738">
      <c r="F738" s="205"/>
    </row>
    <row r="739">
      <c r="F739" s="205"/>
    </row>
    <row r="740">
      <c r="F740" s="205"/>
    </row>
    <row r="741">
      <c r="F741" s="205"/>
    </row>
    <row r="742">
      <c r="F742" s="205"/>
    </row>
    <row r="743">
      <c r="F743" s="205"/>
    </row>
    <row r="744">
      <c r="F744" s="205"/>
    </row>
    <row r="745">
      <c r="F745" s="205"/>
    </row>
    <row r="746">
      <c r="F746" s="205"/>
    </row>
    <row r="747">
      <c r="F747" s="205"/>
    </row>
    <row r="748">
      <c r="F748" s="205"/>
    </row>
    <row r="749">
      <c r="F749" s="205"/>
    </row>
    <row r="750">
      <c r="F750" s="205"/>
    </row>
    <row r="751">
      <c r="F751" s="205"/>
    </row>
    <row r="752">
      <c r="F752" s="205"/>
    </row>
    <row r="753">
      <c r="F753" s="205"/>
    </row>
    <row r="754">
      <c r="F754" s="205"/>
    </row>
    <row r="755">
      <c r="F755" s="205"/>
    </row>
    <row r="756">
      <c r="F756" s="205"/>
    </row>
    <row r="757">
      <c r="F757" s="205"/>
    </row>
    <row r="758">
      <c r="F758" s="205"/>
    </row>
    <row r="759">
      <c r="F759" s="205"/>
    </row>
    <row r="760">
      <c r="F760" s="205"/>
    </row>
    <row r="761">
      <c r="F761" s="205"/>
    </row>
    <row r="762">
      <c r="F762" s="205"/>
    </row>
    <row r="763">
      <c r="F763" s="205"/>
    </row>
    <row r="764">
      <c r="F764" s="205"/>
    </row>
    <row r="765">
      <c r="F765" s="205"/>
    </row>
    <row r="766">
      <c r="F766" s="205"/>
    </row>
    <row r="767">
      <c r="F767" s="205"/>
    </row>
    <row r="768">
      <c r="F768" s="205"/>
    </row>
    <row r="769">
      <c r="F769" s="205"/>
    </row>
    <row r="770">
      <c r="F770" s="205"/>
    </row>
    <row r="771">
      <c r="F771" s="205"/>
    </row>
    <row r="772">
      <c r="F772" s="205"/>
    </row>
    <row r="773">
      <c r="F773" s="205"/>
    </row>
    <row r="774">
      <c r="F774" s="205"/>
    </row>
    <row r="775">
      <c r="F775" s="205"/>
    </row>
    <row r="776">
      <c r="F776" s="205"/>
    </row>
    <row r="777">
      <c r="F777" s="205"/>
    </row>
    <row r="778">
      <c r="F778" s="205"/>
    </row>
    <row r="779">
      <c r="F779" s="205"/>
    </row>
    <row r="780">
      <c r="F780" s="205"/>
    </row>
    <row r="781">
      <c r="F781" s="205"/>
    </row>
    <row r="782">
      <c r="F782" s="205"/>
    </row>
    <row r="783">
      <c r="F783" s="205"/>
    </row>
    <row r="784">
      <c r="F784" s="205"/>
    </row>
    <row r="785">
      <c r="F785" s="205"/>
    </row>
    <row r="786">
      <c r="F786" s="205"/>
    </row>
    <row r="787">
      <c r="F787" s="205"/>
    </row>
    <row r="788">
      <c r="F788" s="205"/>
    </row>
    <row r="789">
      <c r="F789" s="205"/>
    </row>
    <row r="790">
      <c r="F790" s="205"/>
    </row>
    <row r="791">
      <c r="F791" s="205"/>
    </row>
    <row r="792">
      <c r="F792" s="205"/>
    </row>
    <row r="793">
      <c r="F793" s="205"/>
    </row>
    <row r="794">
      <c r="F794" s="205"/>
    </row>
    <row r="795">
      <c r="F795" s="205"/>
    </row>
    <row r="796">
      <c r="F796" s="205"/>
    </row>
    <row r="797">
      <c r="F797" s="205"/>
    </row>
    <row r="798">
      <c r="F798" s="205"/>
    </row>
    <row r="799">
      <c r="F799" s="205"/>
    </row>
    <row r="800">
      <c r="F800" s="205"/>
    </row>
    <row r="801">
      <c r="F801" s="205"/>
    </row>
    <row r="802">
      <c r="F802" s="205"/>
    </row>
    <row r="803">
      <c r="F803" s="205"/>
    </row>
    <row r="804">
      <c r="F804" s="205"/>
    </row>
    <row r="805">
      <c r="F805" s="205"/>
    </row>
    <row r="806">
      <c r="F806" s="205"/>
    </row>
    <row r="807">
      <c r="F807" s="205"/>
    </row>
    <row r="808">
      <c r="F808" s="205"/>
    </row>
    <row r="809">
      <c r="F809" s="205"/>
    </row>
    <row r="810">
      <c r="F810" s="205"/>
    </row>
    <row r="811">
      <c r="F811" s="205"/>
    </row>
    <row r="812">
      <c r="F812" s="205"/>
    </row>
    <row r="813">
      <c r="F813" s="205"/>
    </row>
    <row r="814">
      <c r="F814" s="205"/>
    </row>
    <row r="815">
      <c r="F815" s="205"/>
    </row>
    <row r="816">
      <c r="F816" s="205"/>
    </row>
    <row r="817">
      <c r="F817" s="205"/>
    </row>
    <row r="818">
      <c r="F818" s="205"/>
    </row>
    <row r="819">
      <c r="F819" s="205"/>
    </row>
    <row r="820">
      <c r="F820" s="205"/>
    </row>
    <row r="821">
      <c r="F821" s="205"/>
    </row>
    <row r="822">
      <c r="F822" s="205"/>
    </row>
    <row r="823">
      <c r="F823" s="205"/>
    </row>
    <row r="824">
      <c r="F824" s="205"/>
    </row>
    <row r="825">
      <c r="F825" s="205"/>
    </row>
    <row r="826">
      <c r="F826" s="205"/>
    </row>
    <row r="827">
      <c r="F827" s="205"/>
    </row>
    <row r="828">
      <c r="F828" s="205"/>
    </row>
    <row r="829">
      <c r="F829" s="205"/>
    </row>
    <row r="830">
      <c r="F830" s="205"/>
    </row>
    <row r="831">
      <c r="F831" s="205"/>
    </row>
    <row r="832">
      <c r="F832" s="205"/>
    </row>
    <row r="833">
      <c r="F833" s="205"/>
    </row>
    <row r="834">
      <c r="F834" s="205"/>
    </row>
    <row r="835">
      <c r="F835" s="205"/>
    </row>
    <row r="836">
      <c r="F836" s="205"/>
    </row>
    <row r="837">
      <c r="F837" s="205"/>
    </row>
    <row r="838">
      <c r="F838" s="205"/>
    </row>
    <row r="839">
      <c r="F839" s="205"/>
    </row>
    <row r="840">
      <c r="F840" s="205"/>
    </row>
    <row r="841">
      <c r="F841" s="205"/>
    </row>
    <row r="842">
      <c r="F842" s="205"/>
    </row>
    <row r="843">
      <c r="F843" s="205"/>
    </row>
    <row r="844">
      <c r="F844" s="205"/>
    </row>
    <row r="845">
      <c r="F845" s="205"/>
    </row>
    <row r="846">
      <c r="F846" s="205"/>
    </row>
    <row r="847">
      <c r="F847" s="205"/>
    </row>
    <row r="848">
      <c r="F848" s="205"/>
    </row>
    <row r="849">
      <c r="F849" s="205"/>
    </row>
    <row r="850">
      <c r="F850" s="205"/>
    </row>
    <row r="851">
      <c r="F851" s="205"/>
    </row>
    <row r="852">
      <c r="F852" s="205"/>
    </row>
    <row r="853">
      <c r="F853" s="205"/>
    </row>
    <row r="854">
      <c r="F854" s="205"/>
    </row>
    <row r="855">
      <c r="F855" s="205"/>
    </row>
    <row r="856">
      <c r="F856" s="205"/>
    </row>
    <row r="857">
      <c r="F857" s="205"/>
    </row>
    <row r="858">
      <c r="F858" s="205"/>
    </row>
    <row r="859">
      <c r="F859" s="205"/>
    </row>
    <row r="860">
      <c r="F860" s="205"/>
    </row>
    <row r="861">
      <c r="F861" s="205"/>
    </row>
    <row r="862">
      <c r="F862" s="205"/>
    </row>
    <row r="863">
      <c r="F863" s="205"/>
    </row>
    <row r="864">
      <c r="F864" s="205"/>
    </row>
    <row r="865">
      <c r="F865" s="205"/>
    </row>
    <row r="866">
      <c r="F866" s="205"/>
    </row>
    <row r="867">
      <c r="F867" s="205"/>
    </row>
    <row r="868">
      <c r="F868" s="205"/>
    </row>
    <row r="869">
      <c r="F869" s="205"/>
    </row>
    <row r="870">
      <c r="F870" s="205"/>
    </row>
    <row r="871">
      <c r="F871" s="205"/>
    </row>
    <row r="872">
      <c r="F872" s="205"/>
    </row>
    <row r="873">
      <c r="F873" s="205"/>
    </row>
    <row r="874">
      <c r="F874" s="205"/>
    </row>
    <row r="875">
      <c r="F875" s="205"/>
    </row>
    <row r="876">
      <c r="F876" s="205"/>
    </row>
    <row r="877">
      <c r="F877" s="205"/>
    </row>
    <row r="878">
      <c r="F878" s="205"/>
    </row>
    <row r="879">
      <c r="F879" s="205"/>
    </row>
    <row r="880">
      <c r="F880" s="205"/>
    </row>
    <row r="881">
      <c r="F881" s="205"/>
    </row>
    <row r="882">
      <c r="F882" s="205"/>
    </row>
    <row r="883">
      <c r="F883" s="205"/>
    </row>
    <row r="884">
      <c r="F884" s="205"/>
    </row>
    <row r="885">
      <c r="F885" s="205"/>
    </row>
    <row r="886">
      <c r="F886" s="205"/>
    </row>
    <row r="887">
      <c r="F887" s="205"/>
    </row>
    <row r="888">
      <c r="F888" s="205"/>
    </row>
    <row r="889">
      <c r="F889" s="205"/>
    </row>
    <row r="890">
      <c r="F890" s="205"/>
    </row>
    <row r="891">
      <c r="F891" s="205"/>
    </row>
    <row r="892">
      <c r="F892" s="205"/>
    </row>
    <row r="893">
      <c r="F893" s="205"/>
    </row>
    <row r="894">
      <c r="F894" s="205"/>
    </row>
    <row r="895">
      <c r="F895" s="205"/>
    </row>
    <row r="896">
      <c r="F896" s="205"/>
    </row>
    <row r="897">
      <c r="F897" s="205"/>
    </row>
    <row r="898">
      <c r="F898" s="205"/>
    </row>
    <row r="899">
      <c r="F899" s="205"/>
    </row>
    <row r="900">
      <c r="F900" s="205"/>
    </row>
    <row r="901">
      <c r="F901" s="205"/>
    </row>
    <row r="902">
      <c r="F902" s="205"/>
    </row>
    <row r="903">
      <c r="F903" s="205"/>
    </row>
    <row r="904">
      <c r="F904" s="205"/>
    </row>
    <row r="905">
      <c r="F905" s="205"/>
    </row>
    <row r="906">
      <c r="F906" s="205"/>
    </row>
    <row r="907">
      <c r="F907" s="205"/>
    </row>
    <row r="908">
      <c r="F908" s="205"/>
    </row>
    <row r="909">
      <c r="F909" s="205"/>
    </row>
    <row r="910">
      <c r="F910" s="205"/>
    </row>
    <row r="911">
      <c r="F911" s="205"/>
    </row>
    <row r="912">
      <c r="F912" s="205"/>
    </row>
    <row r="913">
      <c r="F913" s="205"/>
    </row>
    <row r="914">
      <c r="F914" s="205"/>
    </row>
    <row r="915">
      <c r="F915" s="205"/>
    </row>
    <row r="916">
      <c r="F916" s="205"/>
    </row>
    <row r="917">
      <c r="F917" s="205"/>
    </row>
    <row r="918">
      <c r="F918" s="205"/>
    </row>
    <row r="919">
      <c r="F919" s="205"/>
    </row>
    <row r="920">
      <c r="F920" s="205"/>
    </row>
    <row r="921">
      <c r="F921" s="205"/>
    </row>
    <row r="922">
      <c r="F922" s="205"/>
    </row>
    <row r="923">
      <c r="F923" s="205"/>
    </row>
    <row r="924">
      <c r="F924" s="205"/>
    </row>
    <row r="925">
      <c r="F925" s="205"/>
    </row>
    <row r="926">
      <c r="F926" s="205"/>
    </row>
    <row r="927">
      <c r="F927" s="205"/>
    </row>
    <row r="928">
      <c r="F928" s="205"/>
    </row>
    <row r="929">
      <c r="F929" s="205"/>
    </row>
    <row r="930">
      <c r="F930" s="205"/>
    </row>
    <row r="931">
      <c r="F931" s="205"/>
    </row>
    <row r="932">
      <c r="F932" s="205"/>
    </row>
    <row r="933">
      <c r="F933" s="205"/>
    </row>
    <row r="934">
      <c r="F934" s="205"/>
    </row>
    <row r="935">
      <c r="F935" s="205"/>
    </row>
    <row r="936">
      <c r="F936" s="205"/>
    </row>
    <row r="937">
      <c r="F937" s="205"/>
    </row>
    <row r="938">
      <c r="F938" s="205"/>
    </row>
    <row r="939">
      <c r="F939" s="205"/>
    </row>
    <row r="940">
      <c r="F940" s="205"/>
    </row>
    <row r="941">
      <c r="F941" s="205"/>
    </row>
    <row r="942">
      <c r="F942" s="205"/>
    </row>
    <row r="943">
      <c r="F943" s="205"/>
    </row>
    <row r="944">
      <c r="F944" s="205"/>
    </row>
    <row r="945">
      <c r="F945" s="205"/>
    </row>
    <row r="946">
      <c r="F946" s="205"/>
    </row>
    <row r="947">
      <c r="F947" s="205"/>
    </row>
    <row r="948">
      <c r="F948" s="205"/>
    </row>
    <row r="949">
      <c r="F949" s="205"/>
    </row>
    <row r="950">
      <c r="F950" s="205"/>
    </row>
    <row r="951">
      <c r="F951" s="205"/>
    </row>
    <row r="952">
      <c r="F952" s="205"/>
    </row>
    <row r="953">
      <c r="F953" s="205"/>
    </row>
    <row r="954">
      <c r="F954" s="205"/>
    </row>
    <row r="955">
      <c r="F955" s="205"/>
    </row>
    <row r="956">
      <c r="F956" s="205"/>
    </row>
    <row r="957">
      <c r="F957" s="205"/>
    </row>
    <row r="958">
      <c r="F958" s="205"/>
    </row>
    <row r="959">
      <c r="F959" s="205"/>
    </row>
    <row r="960">
      <c r="F960" s="205"/>
    </row>
    <row r="961">
      <c r="F961" s="205"/>
    </row>
    <row r="962">
      <c r="F962" s="205"/>
    </row>
    <row r="963">
      <c r="F963" s="205"/>
    </row>
    <row r="964">
      <c r="F964" s="205"/>
    </row>
    <row r="965">
      <c r="F965" s="205"/>
    </row>
    <row r="966">
      <c r="F966" s="205"/>
    </row>
    <row r="967">
      <c r="F967" s="205"/>
    </row>
    <row r="968">
      <c r="F968" s="205"/>
    </row>
    <row r="969">
      <c r="F969" s="205"/>
    </row>
    <row r="970">
      <c r="F970" s="205"/>
    </row>
    <row r="971">
      <c r="F971" s="205"/>
    </row>
    <row r="972">
      <c r="F972" s="205"/>
    </row>
    <row r="973">
      <c r="F973" s="205"/>
    </row>
    <row r="974">
      <c r="F974" s="205"/>
    </row>
    <row r="975">
      <c r="F975" s="205"/>
    </row>
    <row r="976">
      <c r="F976" s="205"/>
    </row>
    <row r="977">
      <c r="F977" s="205"/>
    </row>
    <row r="978">
      <c r="F978" s="205"/>
    </row>
    <row r="979">
      <c r="F979" s="205"/>
    </row>
    <row r="980">
      <c r="F980" s="205"/>
    </row>
    <row r="981">
      <c r="F981" s="205"/>
    </row>
    <row r="982">
      <c r="F982" s="205"/>
    </row>
    <row r="983">
      <c r="F983" s="205"/>
    </row>
    <row r="984">
      <c r="F984" s="205"/>
    </row>
    <row r="985">
      <c r="F985" s="205"/>
    </row>
    <row r="986">
      <c r="F986" s="205"/>
    </row>
    <row r="987">
      <c r="F987" s="205"/>
    </row>
    <row r="988">
      <c r="F988" s="205"/>
    </row>
    <row r="989">
      <c r="F989" s="205"/>
    </row>
    <row r="990">
      <c r="F990" s="205"/>
    </row>
    <row r="991">
      <c r="F991" s="205"/>
    </row>
    <row r="992">
      <c r="F992" s="205"/>
    </row>
    <row r="993">
      <c r="F993" s="205"/>
    </row>
  </sheetData>
  <autoFilter ref="$A$2:$U$74">
    <sortState ref="A2:U74">
      <sortCondition descending="1" ref="L2:L74"/>
    </sortState>
  </autoFilter>
  <mergeCells count="1">
    <mergeCell ref="B1:U1"/>
  </mergeCells>
  <conditionalFormatting sqref="F3:G40 F42:G74">
    <cfRule type="expression" dxfId="3" priority="1">
      <formula>F3&gt;=60</formula>
    </cfRule>
  </conditionalFormatting>
  <conditionalFormatting sqref="F3:G40 F42:G74">
    <cfRule type="expression" dxfId="4" priority="2">
      <formula>AND(F3&gt;50,F3&lt;60)</formula>
    </cfRule>
  </conditionalFormatting>
  <conditionalFormatting sqref="F3:G40 F42:G74">
    <cfRule type="expression" dxfId="5" priority="3">
      <formula>F3&lt;=50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0"/>
    <col customWidth="1" min="3" max="3" width="8.0"/>
    <col customWidth="1" min="4" max="4" width="7.0"/>
    <col customWidth="1" min="5" max="9" width="8.0"/>
    <col customWidth="1" min="10" max="10" width="9.0"/>
    <col customWidth="1" min="11" max="11" width="10.0"/>
    <col customWidth="1" min="12" max="12" width="8.0"/>
    <col customWidth="1" min="13" max="14" width="9.0"/>
    <col customWidth="1" min="15" max="15" width="8.0"/>
    <col customWidth="1" min="16" max="18" width="9.0"/>
    <col customWidth="1" min="19" max="21" width="8.0"/>
    <col customWidth="1" min="22" max="22" width="9.0"/>
    <col customWidth="1" min="23" max="23" width="8.0"/>
    <col customWidth="1" min="24" max="24" width="9.0"/>
    <col customWidth="1" min="25" max="25" width="8.0"/>
    <col customWidth="1" min="26" max="26" width="9.0"/>
    <col customWidth="1" min="27" max="28" width="8.0"/>
    <col customWidth="1" min="29" max="29" width="11.0"/>
    <col customWidth="1" min="30" max="30" width="10.0"/>
    <col customWidth="1" min="31" max="31" width="9.0"/>
    <col customWidth="1" min="32" max="32" width="12.0"/>
    <col customWidth="1" min="33" max="33" width="38.0"/>
  </cols>
  <sheetData>
    <row r="1" ht="27.75" customHeight="1">
      <c r="A1" s="224" t="s">
        <v>779</v>
      </c>
      <c r="B1" s="224" t="s">
        <v>781</v>
      </c>
      <c r="C1" s="224" t="s">
        <v>8</v>
      </c>
      <c r="D1" s="224" t="s">
        <v>5</v>
      </c>
      <c r="E1" s="224" t="s">
        <v>782</v>
      </c>
      <c r="F1" s="224" t="s">
        <v>11</v>
      </c>
      <c r="G1" s="224" t="s">
        <v>42</v>
      </c>
      <c r="H1" s="224" t="s">
        <v>36</v>
      </c>
      <c r="I1" s="224" t="s">
        <v>18</v>
      </c>
      <c r="J1" s="224" t="s">
        <v>784</v>
      </c>
      <c r="K1" s="224" t="s">
        <v>785</v>
      </c>
      <c r="L1" s="224" t="s">
        <v>786</v>
      </c>
      <c r="M1" s="224" t="s">
        <v>787</v>
      </c>
      <c r="N1" s="224" t="s">
        <v>788</v>
      </c>
      <c r="O1" s="224" t="s">
        <v>789</v>
      </c>
      <c r="P1" s="224" t="s">
        <v>790</v>
      </c>
      <c r="Q1" s="224" t="s">
        <v>791</v>
      </c>
      <c r="R1" s="224" t="s">
        <v>792</v>
      </c>
      <c r="S1" s="224" t="s">
        <v>793</v>
      </c>
      <c r="T1" s="224" t="s">
        <v>794</v>
      </c>
      <c r="U1" s="224" t="s">
        <v>795</v>
      </c>
      <c r="V1" s="224" t="s">
        <v>796</v>
      </c>
      <c r="W1" s="224" t="s">
        <v>797</v>
      </c>
      <c r="X1" s="224" t="s">
        <v>798</v>
      </c>
      <c r="Y1" s="224" t="s">
        <v>799</v>
      </c>
      <c r="Z1" s="224" t="s">
        <v>800</v>
      </c>
      <c r="AA1" s="224" t="s">
        <v>802</v>
      </c>
      <c r="AB1" s="224" t="s">
        <v>803</v>
      </c>
      <c r="AC1" s="224" t="s">
        <v>31</v>
      </c>
      <c r="AD1" s="224" t="s">
        <v>33</v>
      </c>
      <c r="AE1" s="224" t="s">
        <v>34</v>
      </c>
      <c r="AF1" s="224" t="s">
        <v>26</v>
      </c>
      <c r="AG1" s="224" t="s">
        <v>30</v>
      </c>
    </row>
    <row r="2">
      <c r="A2" s="225" t="s">
        <v>192</v>
      </c>
      <c r="B2" s="225" t="s">
        <v>804</v>
      </c>
      <c r="C2" s="225" t="s">
        <v>13</v>
      </c>
      <c r="D2" s="226">
        <v>35.1</v>
      </c>
      <c r="E2" s="225" t="s">
        <v>13</v>
      </c>
      <c r="F2" s="227">
        <v>75.0</v>
      </c>
      <c r="G2" s="227">
        <v>22.0</v>
      </c>
      <c r="H2" s="227">
        <v>28.0</v>
      </c>
      <c r="I2" s="227">
        <v>50.0</v>
      </c>
      <c r="J2" s="226">
        <v>0.6666666666666666</v>
      </c>
      <c r="K2" s="226">
        <v>56.0</v>
      </c>
      <c r="L2" s="227">
        <v>139.0</v>
      </c>
      <c r="M2" s="226">
        <v>1.8533333333333333</v>
      </c>
      <c r="N2" s="228">
        <v>0.15827338129496402</v>
      </c>
      <c r="O2" s="227">
        <v>17.0</v>
      </c>
      <c r="P2" s="226">
        <v>0.22666666666666666</v>
      </c>
      <c r="Q2" s="225" t="s">
        <v>806</v>
      </c>
      <c r="R2" s="228">
        <v>0.619</v>
      </c>
      <c r="S2" s="225" t="s">
        <v>807</v>
      </c>
      <c r="T2" s="227">
        <v>34.0</v>
      </c>
      <c r="U2" s="227">
        <v>69.0</v>
      </c>
      <c r="V2" s="226">
        <v>0.92</v>
      </c>
      <c r="W2" s="227">
        <v>20.0</v>
      </c>
      <c r="X2" s="226">
        <v>0.26666666666666666</v>
      </c>
      <c r="Y2" s="227"/>
      <c r="Z2" s="228"/>
      <c r="AA2" s="227"/>
      <c r="AB2" s="228">
        <v>0.107</v>
      </c>
      <c r="AC2" s="225"/>
      <c r="AD2" s="225"/>
      <c r="AE2" s="227"/>
      <c r="AF2" s="225" t="s">
        <v>288</v>
      </c>
      <c r="AG2" s="229"/>
    </row>
    <row r="3">
      <c r="A3" s="225" t="s">
        <v>192</v>
      </c>
      <c r="B3" s="225" t="s">
        <v>306</v>
      </c>
      <c r="C3" s="225" t="s">
        <v>59</v>
      </c>
      <c r="D3" s="226">
        <v>21.5</v>
      </c>
      <c r="E3" s="225" t="s">
        <v>13</v>
      </c>
      <c r="F3" s="227">
        <v>70.0</v>
      </c>
      <c r="G3" s="227">
        <v>29.0</v>
      </c>
      <c r="H3" s="227">
        <v>38.0</v>
      </c>
      <c r="I3" s="227">
        <v>67.0</v>
      </c>
      <c r="J3" s="226">
        <v>0.9571428571428572</v>
      </c>
      <c r="K3" s="226">
        <v>80.4</v>
      </c>
      <c r="L3" s="227">
        <v>193.0</v>
      </c>
      <c r="M3" s="226">
        <v>2.757142857142857</v>
      </c>
      <c r="N3" s="228">
        <v>0.15025906735751296</v>
      </c>
      <c r="O3" s="227">
        <v>18.0</v>
      </c>
      <c r="P3" s="226">
        <v>0.2571428571428571</v>
      </c>
      <c r="Q3" s="225" t="s">
        <v>810</v>
      </c>
      <c r="R3" s="228">
        <v>0.628</v>
      </c>
      <c r="S3" s="225" t="s">
        <v>811</v>
      </c>
      <c r="T3" s="227">
        <v>33.0</v>
      </c>
      <c r="U3" s="227">
        <v>14.0</v>
      </c>
      <c r="V3" s="226">
        <v>0.2</v>
      </c>
      <c r="W3" s="227">
        <v>29.0</v>
      </c>
      <c r="X3" s="226">
        <v>0.4142857142857143</v>
      </c>
      <c r="Y3" s="227"/>
      <c r="Z3" s="228"/>
      <c r="AA3" s="227"/>
      <c r="AB3" s="228">
        <v>0.166</v>
      </c>
      <c r="AC3" s="225"/>
      <c r="AD3" s="225"/>
      <c r="AE3" s="227"/>
      <c r="AF3" s="225" t="s">
        <v>813</v>
      </c>
      <c r="AG3" s="229"/>
    </row>
    <row r="4">
      <c r="A4" s="225" t="s">
        <v>192</v>
      </c>
      <c r="B4" s="225" t="s">
        <v>440</v>
      </c>
      <c r="C4" s="225" t="s">
        <v>815</v>
      </c>
      <c r="D4" s="226">
        <v>28.8</v>
      </c>
      <c r="E4" s="225" t="s">
        <v>815</v>
      </c>
      <c r="F4" s="227">
        <v>61.0</v>
      </c>
      <c r="G4" s="227">
        <v>19.0</v>
      </c>
      <c r="H4" s="227">
        <v>38.0</v>
      </c>
      <c r="I4" s="227">
        <v>57.0</v>
      </c>
      <c r="J4" s="226">
        <v>0.9344262295081968</v>
      </c>
      <c r="K4" s="226">
        <v>78.49180327868852</v>
      </c>
      <c r="L4" s="227">
        <v>161.0</v>
      </c>
      <c r="M4" s="226">
        <v>2.639344262295082</v>
      </c>
      <c r="N4" s="228">
        <v>0.11801242236024845</v>
      </c>
      <c r="O4" s="227">
        <v>12.0</v>
      </c>
      <c r="P4" s="226">
        <v>0.19672131147540983</v>
      </c>
      <c r="Q4" s="225" t="s">
        <v>816</v>
      </c>
      <c r="R4" s="228">
        <v>0.594</v>
      </c>
      <c r="S4" s="225" t="s">
        <v>817</v>
      </c>
      <c r="T4" s="227">
        <v>14.0</v>
      </c>
      <c r="U4" s="227">
        <v>2.0</v>
      </c>
      <c r="V4" s="226">
        <v>0.03278688524590164</v>
      </c>
      <c r="W4" s="227">
        <v>16.0</v>
      </c>
      <c r="X4" s="226">
        <v>0.26229508196721313</v>
      </c>
      <c r="Y4" s="227"/>
      <c r="Z4" s="228"/>
      <c r="AA4" s="227"/>
      <c r="AB4" s="228">
        <v>0.183</v>
      </c>
      <c r="AC4" s="225"/>
      <c r="AD4" s="225"/>
      <c r="AE4" s="227"/>
      <c r="AF4" s="225" t="s">
        <v>819</v>
      </c>
      <c r="AG4" s="229"/>
    </row>
    <row r="5">
      <c r="A5" s="225" t="s">
        <v>192</v>
      </c>
      <c r="B5" s="225" t="s">
        <v>707</v>
      </c>
      <c r="C5" s="225" t="s">
        <v>59</v>
      </c>
      <c r="D5" s="226">
        <v>34.3</v>
      </c>
      <c r="E5" s="225" t="s">
        <v>13</v>
      </c>
      <c r="F5" s="227">
        <v>58.0</v>
      </c>
      <c r="G5" s="227">
        <v>19.0</v>
      </c>
      <c r="H5" s="227">
        <v>22.0</v>
      </c>
      <c r="I5" s="227">
        <v>41.0</v>
      </c>
      <c r="J5" s="226">
        <v>0.7068965517241379</v>
      </c>
      <c r="K5" s="226">
        <v>59.37931034482759</v>
      </c>
      <c r="L5" s="227">
        <v>117.0</v>
      </c>
      <c r="M5" s="226">
        <v>2.0172413793103448</v>
      </c>
      <c r="N5" s="228">
        <v>0.1623931623931624</v>
      </c>
      <c r="O5" s="227">
        <v>12.0</v>
      </c>
      <c r="P5" s="226">
        <v>0.20689655172413793</v>
      </c>
      <c r="Q5" s="225" t="s">
        <v>821</v>
      </c>
      <c r="R5" s="228">
        <v>0.593</v>
      </c>
      <c r="S5" s="225" t="s">
        <v>822</v>
      </c>
      <c r="T5" s="227">
        <v>18.0</v>
      </c>
      <c r="U5" s="227">
        <v>32.0</v>
      </c>
      <c r="V5" s="226">
        <v>0.5517241379310345</v>
      </c>
      <c r="W5" s="227">
        <v>41.0</v>
      </c>
      <c r="X5" s="226">
        <v>0.7068965517241379</v>
      </c>
      <c r="Y5" s="227"/>
      <c r="Z5" s="228"/>
      <c r="AA5" s="227"/>
      <c r="AB5" s="228">
        <v>0.35700000000000004</v>
      </c>
      <c r="AC5" s="225"/>
      <c r="AD5" s="225"/>
      <c r="AE5" s="227"/>
      <c r="AF5" s="225" t="s">
        <v>819</v>
      </c>
      <c r="AG5" s="229"/>
    </row>
    <row r="6">
      <c r="A6" s="225" t="s">
        <v>192</v>
      </c>
      <c r="B6" s="225" t="s">
        <v>524</v>
      </c>
      <c r="C6" s="225" t="s">
        <v>815</v>
      </c>
      <c r="D6" s="226">
        <v>20.4</v>
      </c>
      <c r="E6" s="225" t="s">
        <v>815</v>
      </c>
      <c r="F6" s="227">
        <v>82.0</v>
      </c>
      <c r="G6" s="227">
        <v>23.0</v>
      </c>
      <c r="H6" s="227">
        <v>37.0</v>
      </c>
      <c r="I6" s="227">
        <v>60.0</v>
      </c>
      <c r="J6" s="226">
        <v>0.7317073170731707</v>
      </c>
      <c r="K6" s="226">
        <v>61.46341463414634</v>
      </c>
      <c r="L6" s="227">
        <v>197.0</v>
      </c>
      <c r="M6" s="226">
        <v>2.402439024390244</v>
      </c>
      <c r="N6" s="228">
        <v>0.116751269035533</v>
      </c>
      <c r="O6" s="227">
        <v>13.0</v>
      </c>
      <c r="P6" s="226">
        <v>0.15853658536585366</v>
      </c>
      <c r="Q6" s="225" t="s">
        <v>825</v>
      </c>
      <c r="R6" s="228">
        <v>0.444</v>
      </c>
      <c r="S6" s="225" t="s">
        <v>826</v>
      </c>
      <c r="T6" s="227">
        <v>62.0</v>
      </c>
      <c r="U6" s="227">
        <v>97.0</v>
      </c>
      <c r="V6" s="226">
        <v>1.1829268292682926</v>
      </c>
      <c r="W6" s="227">
        <v>24.0</v>
      </c>
      <c r="X6" s="226">
        <v>0.2926829268292683</v>
      </c>
      <c r="Y6" s="227"/>
      <c r="Z6" s="228"/>
      <c r="AA6" s="227"/>
      <c r="AB6" s="228">
        <v>0.006999999999999999</v>
      </c>
      <c r="AC6" s="225"/>
      <c r="AD6" s="225"/>
      <c r="AE6" s="227"/>
      <c r="AF6" s="225" t="s">
        <v>828</v>
      </c>
      <c r="AG6" s="229"/>
    </row>
    <row r="7">
      <c r="A7" s="225" t="s">
        <v>192</v>
      </c>
      <c r="B7" s="225" t="s">
        <v>281</v>
      </c>
      <c r="C7" s="225" t="s">
        <v>815</v>
      </c>
      <c r="D7" s="226">
        <v>22.4</v>
      </c>
      <c r="E7" s="225" t="s">
        <v>13</v>
      </c>
      <c r="F7" s="227">
        <v>76.0</v>
      </c>
      <c r="G7" s="227">
        <v>41.0</v>
      </c>
      <c r="H7" s="227">
        <v>28.0</v>
      </c>
      <c r="I7" s="227">
        <v>69.0</v>
      </c>
      <c r="J7" s="226">
        <v>0.9078947368421053</v>
      </c>
      <c r="K7" s="226">
        <v>76.26315789473685</v>
      </c>
      <c r="L7" s="227">
        <v>285.0</v>
      </c>
      <c r="M7" s="226">
        <v>3.75</v>
      </c>
      <c r="N7" s="228">
        <v>0.14385964912280702</v>
      </c>
      <c r="O7" s="227">
        <v>19.0</v>
      </c>
      <c r="P7" s="226">
        <v>0.25</v>
      </c>
      <c r="Q7" s="225" t="s">
        <v>830</v>
      </c>
      <c r="R7" s="228">
        <v>0.53</v>
      </c>
      <c r="S7" s="225" t="s">
        <v>831</v>
      </c>
      <c r="T7" s="227">
        <v>28.0</v>
      </c>
      <c r="U7" s="227">
        <v>64.0</v>
      </c>
      <c r="V7" s="226">
        <v>0.8421052631578947</v>
      </c>
      <c r="W7" s="227">
        <v>20.0</v>
      </c>
      <c r="X7" s="226">
        <v>0.2631578947368421</v>
      </c>
      <c r="Y7" s="227"/>
      <c r="Z7" s="228"/>
      <c r="AA7" s="227"/>
      <c r="AB7" s="228">
        <v>0.059000000000000004</v>
      </c>
      <c r="AC7" s="225"/>
      <c r="AD7" s="225"/>
      <c r="AE7" s="227"/>
      <c r="AF7" s="225" t="s">
        <v>832</v>
      </c>
      <c r="AG7" s="229"/>
    </row>
    <row r="8">
      <c r="A8" s="225" t="s">
        <v>192</v>
      </c>
      <c r="B8" s="225" t="s">
        <v>833</v>
      </c>
      <c r="C8" s="225"/>
      <c r="D8" s="226"/>
      <c r="E8" s="225"/>
      <c r="F8" s="227"/>
      <c r="G8" s="227"/>
      <c r="H8" s="227"/>
      <c r="I8" s="227"/>
      <c r="J8" s="226"/>
      <c r="K8" s="226"/>
      <c r="L8" s="227"/>
      <c r="M8" s="226"/>
      <c r="N8" s="228"/>
      <c r="O8" s="227"/>
      <c r="P8" s="226"/>
      <c r="Q8" s="225"/>
      <c r="R8" s="228"/>
      <c r="S8" s="225"/>
      <c r="T8" s="227"/>
      <c r="U8" s="227"/>
      <c r="V8" s="226"/>
      <c r="W8" s="227"/>
      <c r="X8" s="226"/>
      <c r="Y8" s="227"/>
      <c r="Z8" s="228"/>
      <c r="AA8" s="227"/>
      <c r="AB8" s="228"/>
      <c r="AC8" s="225"/>
      <c r="AD8" s="225"/>
      <c r="AE8" s="227"/>
      <c r="AF8" s="225"/>
      <c r="AG8" s="229"/>
    </row>
    <row r="9">
      <c r="A9" s="225" t="s">
        <v>83</v>
      </c>
      <c r="B9" s="225" t="s">
        <v>836</v>
      </c>
      <c r="C9" s="225" t="s">
        <v>13</v>
      </c>
      <c r="D9" s="226">
        <v>23.9</v>
      </c>
      <c r="E9" s="225" t="s">
        <v>13</v>
      </c>
      <c r="F9" s="227">
        <v>77.0</v>
      </c>
      <c r="G9" s="227">
        <v>15.0</v>
      </c>
      <c r="H9" s="227">
        <v>18.0</v>
      </c>
      <c r="I9" s="227">
        <v>33.0</v>
      </c>
      <c r="J9" s="226">
        <v>0.42857142857142855</v>
      </c>
      <c r="K9" s="226">
        <v>36.0</v>
      </c>
      <c r="L9" s="227">
        <v>78.0</v>
      </c>
      <c r="M9" s="226">
        <v>1.0129870129870129</v>
      </c>
      <c r="N9" s="228">
        <v>0.19230769230769232</v>
      </c>
      <c r="O9" s="227">
        <v>1.0</v>
      </c>
      <c r="P9" s="226">
        <v>0.012987012987012988</v>
      </c>
      <c r="Q9" s="225" t="s">
        <v>837</v>
      </c>
      <c r="R9" s="228">
        <v>0.138</v>
      </c>
      <c r="S9" s="225" t="s">
        <v>838</v>
      </c>
      <c r="T9" s="227">
        <v>16.0</v>
      </c>
      <c r="U9" s="227">
        <v>42.0</v>
      </c>
      <c r="V9" s="226">
        <v>0.5454545454545454</v>
      </c>
      <c r="W9" s="227">
        <v>39.0</v>
      </c>
      <c r="X9" s="226">
        <v>0.5064935064935064</v>
      </c>
      <c r="Y9" s="227"/>
      <c r="Z9" s="228"/>
      <c r="AA9" s="227"/>
      <c r="AB9" s="228">
        <v>0.19</v>
      </c>
      <c r="AC9" s="225"/>
      <c r="AD9" s="225"/>
      <c r="AE9" s="227"/>
      <c r="AF9" s="225" t="s">
        <v>840</v>
      </c>
      <c r="AG9" s="229"/>
    </row>
    <row r="10">
      <c r="A10" s="225" t="s">
        <v>83</v>
      </c>
      <c r="B10" s="225" t="s">
        <v>841</v>
      </c>
      <c r="C10" s="225" t="s">
        <v>59</v>
      </c>
      <c r="D10" s="226">
        <v>22.0</v>
      </c>
      <c r="E10" s="225" t="s">
        <v>13</v>
      </c>
      <c r="F10" s="227">
        <v>82.0</v>
      </c>
      <c r="G10" s="227">
        <v>17.0</v>
      </c>
      <c r="H10" s="227">
        <v>18.0</v>
      </c>
      <c r="I10" s="227">
        <v>35.0</v>
      </c>
      <c r="J10" s="226">
        <v>0.4268292682926829</v>
      </c>
      <c r="K10" s="226">
        <v>35.853658536585364</v>
      </c>
      <c r="L10" s="227">
        <v>116.0</v>
      </c>
      <c r="M10" s="226">
        <v>1.4146341463414633</v>
      </c>
      <c r="N10" s="228">
        <v>0.14655172413793102</v>
      </c>
      <c r="O10" s="227">
        <v>3.0</v>
      </c>
      <c r="P10" s="226">
        <v>0.036585365853658534</v>
      </c>
      <c r="Q10" s="225" t="s">
        <v>843</v>
      </c>
      <c r="R10" s="228">
        <v>0.21100000000000002</v>
      </c>
      <c r="S10" s="225" t="s">
        <v>844</v>
      </c>
      <c r="T10" s="227">
        <v>20.0</v>
      </c>
      <c r="U10" s="227">
        <v>142.0</v>
      </c>
      <c r="V10" s="226">
        <v>1.7317073170731707</v>
      </c>
      <c r="W10" s="227">
        <v>51.0</v>
      </c>
      <c r="X10" s="226">
        <v>0.6219512195121951</v>
      </c>
      <c r="Y10" s="227"/>
      <c r="Z10" s="228"/>
      <c r="AA10" s="227"/>
      <c r="AB10" s="228">
        <v>0.282</v>
      </c>
      <c r="AC10" s="225"/>
      <c r="AD10" s="225"/>
      <c r="AE10" s="227"/>
      <c r="AF10" s="225" t="s">
        <v>845</v>
      </c>
      <c r="AG10" s="229"/>
    </row>
    <row r="11">
      <c r="A11" s="225" t="s">
        <v>83</v>
      </c>
      <c r="B11" s="225" t="s">
        <v>134</v>
      </c>
      <c r="C11" s="225" t="s">
        <v>815</v>
      </c>
      <c r="D11" s="226">
        <v>30.1</v>
      </c>
      <c r="E11" s="225" t="s">
        <v>815</v>
      </c>
      <c r="F11" s="227">
        <v>77.0</v>
      </c>
      <c r="G11" s="227">
        <v>29.0</v>
      </c>
      <c r="H11" s="227">
        <v>71.0</v>
      </c>
      <c r="I11" s="227">
        <v>100.0</v>
      </c>
      <c r="J11" s="226">
        <v>1.2987012987012987</v>
      </c>
      <c r="K11" s="226">
        <v>109.0909090909091</v>
      </c>
      <c r="L11" s="227">
        <v>261.0</v>
      </c>
      <c r="M11" s="226">
        <v>3.3896103896103895</v>
      </c>
      <c r="N11" s="228">
        <v>0.1111111111111111</v>
      </c>
      <c r="O11" s="227">
        <v>33.0</v>
      </c>
      <c r="P11" s="226">
        <v>0.42857142857142855</v>
      </c>
      <c r="Q11" s="225" t="s">
        <v>848</v>
      </c>
      <c r="R11" s="228">
        <v>0.7709999999999999</v>
      </c>
      <c r="S11" s="225" t="s">
        <v>849</v>
      </c>
      <c r="T11" s="227">
        <v>72.0</v>
      </c>
      <c r="U11" s="227">
        <v>86.0</v>
      </c>
      <c r="V11" s="226">
        <v>1.1168831168831168</v>
      </c>
      <c r="W11" s="227">
        <v>32.0</v>
      </c>
      <c r="X11" s="226">
        <v>0.4155844155844156</v>
      </c>
      <c r="Y11" s="227"/>
      <c r="Z11" s="228"/>
      <c r="AA11" s="227"/>
      <c r="AB11" s="228">
        <v>0.006999999999999999</v>
      </c>
      <c r="AC11" s="225"/>
      <c r="AD11" s="225"/>
      <c r="AE11" s="227"/>
      <c r="AF11" s="225" t="s">
        <v>850</v>
      </c>
      <c r="AG11" s="229"/>
    </row>
    <row r="12">
      <c r="A12" s="225" t="s">
        <v>83</v>
      </c>
      <c r="B12" s="225" t="s">
        <v>851</v>
      </c>
      <c r="C12" s="225" t="s">
        <v>13</v>
      </c>
      <c r="D12" s="226">
        <v>27.6</v>
      </c>
      <c r="E12" s="225" t="s">
        <v>13</v>
      </c>
      <c r="F12" s="227">
        <v>71.0</v>
      </c>
      <c r="G12" s="227">
        <v>15.0</v>
      </c>
      <c r="H12" s="227">
        <v>27.0</v>
      </c>
      <c r="I12" s="227">
        <v>42.0</v>
      </c>
      <c r="J12" s="226">
        <v>0.5915492957746479</v>
      </c>
      <c r="K12" s="226">
        <v>49.690140845070424</v>
      </c>
      <c r="L12" s="227">
        <v>80.0</v>
      </c>
      <c r="M12" s="226">
        <v>1.1267605633802817</v>
      </c>
      <c r="N12" s="228">
        <v>0.1875</v>
      </c>
      <c r="O12" s="227">
        <v>7.0</v>
      </c>
      <c r="P12" s="226">
        <v>0.09859154929577464</v>
      </c>
      <c r="Q12" s="225" t="s">
        <v>853</v>
      </c>
      <c r="R12" s="228">
        <v>0.373</v>
      </c>
      <c r="S12" s="225" t="s">
        <v>854</v>
      </c>
      <c r="T12" s="227">
        <v>12.0</v>
      </c>
      <c r="U12" s="227">
        <v>23.0</v>
      </c>
      <c r="V12" s="226">
        <v>0.323943661971831</v>
      </c>
      <c r="W12" s="227">
        <v>21.0</v>
      </c>
      <c r="X12" s="226">
        <v>0.29577464788732394</v>
      </c>
      <c r="Y12" s="227"/>
      <c r="Z12" s="228"/>
      <c r="AA12" s="227"/>
      <c r="AB12" s="228">
        <v>0.003</v>
      </c>
      <c r="AC12" s="225"/>
      <c r="AD12" s="225"/>
      <c r="AE12" s="227"/>
      <c r="AF12" s="225" t="s">
        <v>856</v>
      </c>
      <c r="AG12" s="229"/>
    </row>
    <row r="13">
      <c r="A13" s="225" t="s">
        <v>83</v>
      </c>
      <c r="B13" s="225" t="s">
        <v>743</v>
      </c>
      <c r="C13" s="225" t="s">
        <v>59</v>
      </c>
      <c r="D13" s="226">
        <v>29.2</v>
      </c>
      <c r="E13" s="225" t="s">
        <v>13</v>
      </c>
      <c r="F13" s="227">
        <v>78.0</v>
      </c>
      <c r="G13" s="227">
        <v>30.0</v>
      </c>
      <c r="H13" s="227">
        <v>35.0</v>
      </c>
      <c r="I13" s="227">
        <v>65.0</v>
      </c>
      <c r="J13" s="226">
        <v>0.8333333333333334</v>
      </c>
      <c r="K13" s="226">
        <v>70.0</v>
      </c>
      <c r="L13" s="227">
        <v>131.0</v>
      </c>
      <c r="M13" s="226">
        <v>1.6794871794871795</v>
      </c>
      <c r="N13" s="228">
        <v>0.22900763358778625</v>
      </c>
      <c r="O13" s="227">
        <v>22.0</v>
      </c>
      <c r="P13" s="226">
        <v>0.28205128205128205</v>
      </c>
      <c r="Q13" s="225" t="s">
        <v>858</v>
      </c>
      <c r="R13" s="228">
        <v>0.64</v>
      </c>
      <c r="S13" s="225" t="s">
        <v>859</v>
      </c>
      <c r="T13" s="227">
        <v>28.0</v>
      </c>
      <c r="U13" s="227">
        <v>64.0</v>
      </c>
      <c r="V13" s="226">
        <v>0.8205128205128205</v>
      </c>
      <c r="W13" s="227">
        <v>26.0</v>
      </c>
      <c r="X13" s="226">
        <v>0.3333333333333333</v>
      </c>
      <c r="Y13" s="227"/>
      <c r="Z13" s="228"/>
      <c r="AA13" s="227"/>
      <c r="AB13" s="228">
        <v>0.161</v>
      </c>
      <c r="AC13" s="225"/>
      <c r="AD13" s="225"/>
      <c r="AE13" s="227"/>
      <c r="AF13" s="225" t="s">
        <v>68</v>
      </c>
      <c r="AG13" s="229"/>
    </row>
    <row r="14">
      <c r="A14" s="225" t="s">
        <v>83</v>
      </c>
      <c r="B14" s="225" t="s">
        <v>655</v>
      </c>
      <c r="C14" s="225" t="s">
        <v>815</v>
      </c>
      <c r="D14" s="226">
        <v>27.9</v>
      </c>
      <c r="E14" s="225" t="s">
        <v>815</v>
      </c>
      <c r="F14" s="227">
        <v>81.0</v>
      </c>
      <c r="G14" s="227">
        <v>39.0</v>
      </c>
      <c r="H14" s="227">
        <v>29.0</v>
      </c>
      <c r="I14" s="227">
        <v>68.0</v>
      </c>
      <c r="J14" s="226">
        <v>0.8395061728395061</v>
      </c>
      <c r="K14" s="226">
        <v>70.51851851851852</v>
      </c>
      <c r="L14" s="227">
        <v>181.0</v>
      </c>
      <c r="M14" s="226">
        <v>2.234567901234568</v>
      </c>
      <c r="N14" s="228">
        <v>0.2154696132596685</v>
      </c>
      <c r="O14" s="227">
        <v>24.0</v>
      </c>
      <c r="P14" s="226">
        <v>0.2962962962962963</v>
      </c>
      <c r="Q14" s="225" t="s">
        <v>861</v>
      </c>
      <c r="R14" s="228">
        <v>0.6609999999999999</v>
      </c>
      <c r="S14" s="225" t="s">
        <v>862</v>
      </c>
      <c r="T14" s="227">
        <v>22.0</v>
      </c>
      <c r="U14" s="227">
        <v>110.0</v>
      </c>
      <c r="V14" s="226">
        <v>1.3580246913580247</v>
      </c>
      <c r="W14" s="227">
        <v>34.0</v>
      </c>
      <c r="X14" s="226">
        <v>0.41975308641975306</v>
      </c>
      <c r="Y14" s="227"/>
      <c r="Z14" s="228"/>
      <c r="AA14" s="227"/>
      <c r="AB14" s="228">
        <v>0.001</v>
      </c>
      <c r="AC14" s="225"/>
      <c r="AD14" s="225"/>
      <c r="AE14" s="227"/>
      <c r="AF14" s="225" t="s">
        <v>864</v>
      </c>
      <c r="AG14" s="229"/>
    </row>
    <row r="15">
      <c r="A15" s="225" t="s">
        <v>83</v>
      </c>
      <c r="B15" s="225" t="s">
        <v>673</v>
      </c>
      <c r="C15" s="225" t="s">
        <v>13</v>
      </c>
      <c r="D15" s="226">
        <v>24.4</v>
      </c>
      <c r="E15" s="225" t="s">
        <v>13</v>
      </c>
      <c r="F15" s="227">
        <v>82.0</v>
      </c>
      <c r="G15" s="227">
        <v>25.0</v>
      </c>
      <c r="H15" s="227">
        <v>22.0</v>
      </c>
      <c r="I15" s="227">
        <v>47.0</v>
      </c>
      <c r="J15" s="226">
        <v>0.573170731707317</v>
      </c>
      <c r="K15" s="226">
        <v>48.14634146341463</v>
      </c>
      <c r="L15" s="227">
        <v>159.0</v>
      </c>
      <c r="M15" s="226">
        <v>1.9390243902439024</v>
      </c>
      <c r="N15" s="228">
        <v>0.15723270440251572</v>
      </c>
      <c r="O15" s="227">
        <v>5.0</v>
      </c>
      <c r="P15" s="226">
        <v>0.06097560975609756</v>
      </c>
      <c r="Q15" s="225" t="s">
        <v>866</v>
      </c>
      <c r="R15" s="228">
        <v>0.42</v>
      </c>
      <c r="S15" s="225" t="s">
        <v>867</v>
      </c>
      <c r="T15" s="227">
        <v>28.0</v>
      </c>
      <c r="U15" s="227">
        <v>16.0</v>
      </c>
      <c r="V15" s="226">
        <v>0.1951219512195122</v>
      </c>
      <c r="W15" s="227">
        <v>19.0</v>
      </c>
      <c r="X15" s="226">
        <v>0.23170731707317074</v>
      </c>
      <c r="Y15" s="227"/>
      <c r="Z15" s="228"/>
      <c r="AA15" s="227"/>
      <c r="AB15" s="228">
        <v>0.003</v>
      </c>
      <c r="AC15" s="225"/>
      <c r="AD15" s="225"/>
      <c r="AE15" s="227"/>
      <c r="AF15" s="225" t="s">
        <v>868</v>
      </c>
      <c r="AG15" s="229"/>
    </row>
    <row r="16">
      <c r="A16" s="225" t="s">
        <v>83</v>
      </c>
      <c r="B16" s="225" t="s">
        <v>805</v>
      </c>
      <c r="C16" s="225" t="s">
        <v>59</v>
      </c>
      <c r="D16" s="226">
        <v>31.5</v>
      </c>
      <c r="E16" s="225" t="s">
        <v>815</v>
      </c>
      <c r="F16" s="227">
        <v>69.0</v>
      </c>
      <c r="G16" s="227">
        <v>17.0</v>
      </c>
      <c r="H16" s="227">
        <v>31.0</v>
      </c>
      <c r="I16" s="227">
        <v>48.0</v>
      </c>
      <c r="J16" s="226">
        <v>0.6956521739130435</v>
      </c>
      <c r="K16" s="226">
        <v>58.43478260869565</v>
      </c>
      <c r="L16" s="227">
        <v>114.0</v>
      </c>
      <c r="M16" s="226">
        <v>1.6521739130434783</v>
      </c>
      <c r="N16" s="228">
        <v>0.14912280701754385</v>
      </c>
      <c r="O16" s="227">
        <v>20.0</v>
      </c>
      <c r="P16" s="226">
        <v>0.2898550724637681</v>
      </c>
      <c r="Q16" s="225" t="s">
        <v>871</v>
      </c>
      <c r="R16" s="228">
        <v>0.606</v>
      </c>
      <c r="S16" s="225" t="s">
        <v>872</v>
      </c>
      <c r="T16" s="227">
        <v>38.0</v>
      </c>
      <c r="U16" s="227">
        <v>41.0</v>
      </c>
      <c r="V16" s="226">
        <v>0.5942028985507246</v>
      </c>
      <c r="W16" s="227">
        <v>59.0</v>
      </c>
      <c r="X16" s="226">
        <v>0.855072463768116</v>
      </c>
      <c r="Y16" s="227"/>
      <c r="Z16" s="228"/>
      <c r="AA16" s="227"/>
      <c r="AB16" s="228">
        <v>0.177</v>
      </c>
      <c r="AC16" s="225"/>
      <c r="AD16" s="225"/>
      <c r="AE16" s="227"/>
      <c r="AF16" s="225" t="s">
        <v>874</v>
      </c>
      <c r="AG16" s="229"/>
    </row>
    <row r="17">
      <c r="A17" s="225" t="s">
        <v>83</v>
      </c>
      <c r="B17" s="225" t="s">
        <v>875</v>
      </c>
      <c r="C17" s="225" t="s">
        <v>59</v>
      </c>
      <c r="D17" s="226">
        <v>19.6</v>
      </c>
      <c r="E17" s="225" t="s">
        <v>13</v>
      </c>
      <c r="F17" s="227">
        <v>2.0</v>
      </c>
      <c r="G17" s="227">
        <v>0.0</v>
      </c>
      <c r="H17" s="227">
        <v>1.0</v>
      </c>
      <c r="I17" s="227">
        <v>1.0</v>
      </c>
      <c r="J17" s="226">
        <v>0.5</v>
      </c>
      <c r="K17" s="226">
        <v>42.0</v>
      </c>
      <c r="L17" s="227">
        <v>2.0</v>
      </c>
      <c r="M17" s="226">
        <v>1.0</v>
      </c>
      <c r="N17" s="228">
        <v>0.0</v>
      </c>
      <c r="O17" s="227">
        <v>0.0</v>
      </c>
      <c r="P17" s="226">
        <v>0.0</v>
      </c>
      <c r="Q17" s="225" t="s">
        <v>877</v>
      </c>
      <c r="R17" s="228"/>
      <c r="S17" s="225" t="s">
        <v>878</v>
      </c>
      <c r="T17" s="227">
        <v>2.0</v>
      </c>
      <c r="U17" s="227">
        <v>1.0</v>
      </c>
      <c r="V17" s="226">
        <v>0.5</v>
      </c>
      <c r="W17" s="227">
        <v>0.0</v>
      </c>
      <c r="X17" s="226">
        <v>0.0</v>
      </c>
      <c r="Y17" s="227"/>
      <c r="Z17" s="228"/>
      <c r="AA17" s="227"/>
      <c r="AB17" s="228">
        <v>0.0</v>
      </c>
      <c r="AC17" s="225"/>
      <c r="AD17" s="225"/>
      <c r="AE17" s="227"/>
      <c r="AF17" s="225" t="s">
        <v>880</v>
      </c>
      <c r="AG17" s="229"/>
    </row>
    <row r="18">
      <c r="A18" s="225" t="s">
        <v>98</v>
      </c>
      <c r="B18" s="225" t="s">
        <v>881</v>
      </c>
      <c r="C18" s="225" t="s">
        <v>13</v>
      </c>
      <c r="D18" s="226">
        <v>25.4</v>
      </c>
      <c r="E18" s="225" t="s">
        <v>13</v>
      </c>
      <c r="F18" s="227">
        <v>82.0</v>
      </c>
      <c r="G18" s="227">
        <v>12.0</v>
      </c>
      <c r="H18" s="227">
        <v>27.0</v>
      </c>
      <c r="I18" s="227">
        <v>39.0</v>
      </c>
      <c r="J18" s="226">
        <v>0.47560975609756095</v>
      </c>
      <c r="K18" s="226">
        <v>39.951219512195124</v>
      </c>
      <c r="L18" s="227">
        <v>93.0</v>
      </c>
      <c r="M18" s="226">
        <v>1.1341463414634145</v>
      </c>
      <c r="N18" s="228">
        <v>0.12903225806451613</v>
      </c>
      <c r="O18" s="227">
        <v>1.0</v>
      </c>
      <c r="P18" s="226">
        <v>0.012195121951219513</v>
      </c>
      <c r="Q18" s="225" t="s">
        <v>883</v>
      </c>
      <c r="R18" s="228">
        <v>0.018000000000000002</v>
      </c>
      <c r="S18" s="225" t="s">
        <v>884</v>
      </c>
      <c r="T18" s="227">
        <v>78.0</v>
      </c>
      <c r="U18" s="227">
        <v>201.0</v>
      </c>
      <c r="V18" s="226">
        <v>2.451219512195122</v>
      </c>
      <c r="W18" s="227">
        <v>41.0</v>
      </c>
      <c r="X18" s="226">
        <v>0.5</v>
      </c>
      <c r="Y18" s="227"/>
      <c r="Z18" s="228"/>
      <c r="AA18" s="227"/>
      <c r="AB18" s="228">
        <v>0.026000000000000002</v>
      </c>
      <c r="AC18" s="225"/>
      <c r="AD18" s="225"/>
      <c r="AE18" s="227"/>
      <c r="AF18" s="225" t="s">
        <v>459</v>
      </c>
      <c r="AG18" s="229"/>
    </row>
    <row r="19">
      <c r="A19" s="225" t="s">
        <v>98</v>
      </c>
      <c r="B19" s="225" t="s">
        <v>384</v>
      </c>
      <c r="C19" s="225" t="s">
        <v>59</v>
      </c>
      <c r="D19" s="226">
        <v>28.6</v>
      </c>
      <c r="E19" s="225" t="s">
        <v>815</v>
      </c>
      <c r="F19" s="227">
        <v>81.0</v>
      </c>
      <c r="G19" s="227">
        <v>40.0</v>
      </c>
      <c r="H19" s="227">
        <v>41.0</v>
      </c>
      <c r="I19" s="227">
        <v>81.0</v>
      </c>
      <c r="J19" s="226">
        <v>1.0</v>
      </c>
      <c r="K19" s="226">
        <v>84.0</v>
      </c>
      <c r="L19" s="227">
        <v>272.0</v>
      </c>
      <c r="M19" s="226">
        <v>3.3580246913580245</v>
      </c>
      <c r="N19" s="228">
        <v>0.14705882352941177</v>
      </c>
      <c r="O19" s="227">
        <v>24.0</v>
      </c>
      <c r="P19" s="226">
        <v>0.2962962962962963</v>
      </c>
      <c r="Q19" s="225" t="s">
        <v>886</v>
      </c>
      <c r="R19" s="228">
        <v>0.7040000000000001</v>
      </c>
      <c r="S19" s="225" t="s">
        <v>888</v>
      </c>
      <c r="T19" s="227">
        <v>35.0</v>
      </c>
      <c r="U19" s="227">
        <v>85.0</v>
      </c>
      <c r="V19" s="226">
        <v>1.0493827160493827</v>
      </c>
      <c r="W19" s="227">
        <v>48.0</v>
      </c>
      <c r="X19" s="226">
        <v>0.5925925925925926</v>
      </c>
      <c r="Y19" s="227"/>
      <c r="Z19" s="228"/>
      <c r="AA19" s="227"/>
      <c r="AB19" s="228">
        <v>0.011000000000000001</v>
      </c>
      <c r="AC19" s="225"/>
      <c r="AD19" s="225"/>
      <c r="AE19" s="227"/>
      <c r="AF19" s="225" t="s">
        <v>889</v>
      </c>
      <c r="AG19" s="229"/>
    </row>
    <row r="20">
      <c r="A20" s="225" t="s">
        <v>98</v>
      </c>
      <c r="B20" s="225" t="s">
        <v>824</v>
      </c>
      <c r="C20" s="225" t="s">
        <v>13</v>
      </c>
      <c r="D20" s="226">
        <v>34.4</v>
      </c>
      <c r="E20" s="225" t="s">
        <v>13</v>
      </c>
      <c r="F20" s="227">
        <v>62.0</v>
      </c>
      <c r="G20" s="227">
        <v>24.0</v>
      </c>
      <c r="H20" s="227">
        <v>21.0</v>
      </c>
      <c r="I20" s="227">
        <v>45.0</v>
      </c>
      <c r="J20" s="226">
        <v>0.7258064516129032</v>
      </c>
      <c r="K20" s="226">
        <v>60.96774193548387</v>
      </c>
      <c r="L20" s="227">
        <v>128.0</v>
      </c>
      <c r="M20" s="226">
        <v>2.064516129032258</v>
      </c>
      <c r="N20" s="228">
        <v>0.1875</v>
      </c>
      <c r="O20" s="227">
        <v>16.0</v>
      </c>
      <c r="P20" s="226">
        <v>0.25806451612903225</v>
      </c>
      <c r="Q20" s="225" t="s">
        <v>892</v>
      </c>
      <c r="R20" s="228">
        <v>0.674</v>
      </c>
      <c r="S20" s="225" t="s">
        <v>893</v>
      </c>
      <c r="T20" s="227">
        <v>23.0</v>
      </c>
      <c r="U20" s="227">
        <v>57.0</v>
      </c>
      <c r="V20" s="226">
        <v>0.9193548387096774</v>
      </c>
      <c r="W20" s="227">
        <v>21.0</v>
      </c>
      <c r="X20" s="226">
        <v>0.3387096774193548</v>
      </c>
      <c r="Y20" s="227"/>
      <c r="Z20" s="228"/>
      <c r="AA20" s="227"/>
      <c r="AB20" s="228">
        <v>0.001</v>
      </c>
      <c r="AC20" s="225"/>
      <c r="AD20" s="225"/>
      <c r="AE20" s="227"/>
      <c r="AF20" s="225" t="s">
        <v>68</v>
      </c>
      <c r="AG20" s="229"/>
    </row>
    <row r="21">
      <c r="A21" s="225" t="s">
        <v>98</v>
      </c>
      <c r="B21" s="225" t="s">
        <v>870</v>
      </c>
      <c r="C21" s="225" t="s">
        <v>59</v>
      </c>
      <c r="D21" s="226">
        <v>26.7</v>
      </c>
      <c r="E21" s="225" t="s">
        <v>13</v>
      </c>
      <c r="F21" s="227">
        <v>81.0</v>
      </c>
      <c r="G21" s="227">
        <v>14.0</v>
      </c>
      <c r="H21" s="227">
        <v>40.0</v>
      </c>
      <c r="I21" s="227">
        <v>54.0</v>
      </c>
      <c r="J21" s="226">
        <v>0.6666666666666666</v>
      </c>
      <c r="K21" s="226">
        <v>56.0</v>
      </c>
      <c r="L21" s="227">
        <v>90.0</v>
      </c>
      <c r="M21" s="226">
        <v>1.1111111111111112</v>
      </c>
      <c r="N21" s="228">
        <v>0.15555555555555556</v>
      </c>
      <c r="O21" s="227">
        <v>7.0</v>
      </c>
      <c r="P21" s="226">
        <v>0.08641975308641975</v>
      </c>
      <c r="Q21" s="225" t="s">
        <v>895</v>
      </c>
      <c r="R21" s="228">
        <v>0.318</v>
      </c>
      <c r="S21" s="225" t="s">
        <v>896</v>
      </c>
      <c r="T21" s="227">
        <v>16.0</v>
      </c>
      <c r="U21" s="227">
        <v>16.0</v>
      </c>
      <c r="V21" s="226">
        <v>0.19753086419753085</v>
      </c>
      <c r="W21" s="227">
        <v>34.0</v>
      </c>
      <c r="X21" s="226">
        <v>0.41975308641975306</v>
      </c>
      <c r="Y21" s="227"/>
      <c r="Z21" s="228"/>
      <c r="AA21" s="227"/>
      <c r="AB21" s="228">
        <v>0.514</v>
      </c>
      <c r="AC21" s="225"/>
      <c r="AD21" s="225"/>
      <c r="AE21" s="227"/>
      <c r="AF21" s="225" t="s">
        <v>349</v>
      </c>
      <c r="AG21" s="229"/>
    </row>
    <row r="22">
      <c r="A22" s="225" t="s">
        <v>98</v>
      </c>
      <c r="B22" s="225" t="s">
        <v>718</v>
      </c>
      <c r="C22" s="225" t="s">
        <v>815</v>
      </c>
      <c r="D22" s="226">
        <v>24.7</v>
      </c>
      <c r="E22" s="225" t="s">
        <v>815</v>
      </c>
      <c r="F22" s="227">
        <v>82.0</v>
      </c>
      <c r="G22" s="227">
        <v>20.0</v>
      </c>
      <c r="H22" s="227">
        <v>31.0</v>
      </c>
      <c r="I22" s="227">
        <v>51.0</v>
      </c>
      <c r="J22" s="226">
        <v>0.6219512195121951</v>
      </c>
      <c r="K22" s="226">
        <v>52.24390243902439</v>
      </c>
      <c r="L22" s="227">
        <v>191.0</v>
      </c>
      <c r="M22" s="226">
        <v>2.3292682926829267</v>
      </c>
      <c r="N22" s="228">
        <v>0.10471204188481675</v>
      </c>
      <c r="O22" s="227">
        <v>11.0</v>
      </c>
      <c r="P22" s="226">
        <v>0.13414634146341464</v>
      </c>
      <c r="Q22" s="225" t="s">
        <v>899</v>
      </c>
      <c r="R22" s="228">
        <v>0.449</v>
      </c>
      <c r="S22" s="225" t="s">
        <v>900</v>
      </c>
      <c r="T22" s="227">
        <v>18.0</v>
      </c>
      <c r="U22" s="227">
        <v>52.0</v>
      </c>
      <c r="V22" s="226">
        <v>0.6341463414634146</v>
      </c>
      <c r="W22" s="227">
        <v>25.0</v>
      </c>
      <c r="X22" s="226">
        <v>0.3048780487804878</v>
      </c>
      <c r="Y22" s="227"/>
      <c r="Z22" s="228"/>
      <c r="AA22" s="227"/>
      <c r="AB22" s="228">
        <v>0.027999999999999997</v>
      </c>
      <c r="AC22" s="225"/>
      <c r="AD22" s="225"/>
      <c r="AE22" s="227"/>
      <c r="AF22" s="225" t="s">
        <v>902</v>
      </c>
      <c r="AG22" s="229"/>
    </row>
    <row r="23">
      <c r="A23" s="225" t="s">
        <v>98</v>
      </c>
      <c r="B23" s="225" t="s">
        <v>903</v>
      </c>
      <c r="C23" s="225" t="s">
        <v>59</v>
      </c>
      <c r="D23" s="226">
        <v>22.3</v>
      </c>
      <c r="E23" s="225" t="s">
        <v>13</v>
      </c>
      <c r="F23" s="227">
        <v>60.0</v>
      </c>
      <c r="G23" s="227">
        <v>11.0</v>
      </c>
      <c r="H23" s="227">
        <v>16.0</v>
      </c>
      <c r="I23" s="227">
        <v>27.0</v>
      </c>
      <c r="J23" s="226">
        <v>0.45</v>
      </c>
      <c r="K23" s="226">
        <v>37.800000000000004</v>
      </c>
      <c r="L23" s="227">
        <v>60.0</v>
      </c>
      <c r="M23" s="226">
        <v>1.0</v>
      </c>
      <c r="N23" s="228">
        <v>0.18333333333333332</v>
      </c>
      <c r="O23" s="227">
        <v>6.0</v>
      </c>
      <c r="P23" s="226">
        <v>0.1</v>
      </c>
      <c r="Q23" s="225" t="s">
        <v>905</v>
      </c>
      <c r="R23" s="228">
        <v>0.275</v>
      </c>
      <c r="S23" s="225" t="s">
        <v>906</v>
      </c>
      <c r="T23" s="227">
        <v>14.0</v>
      </c>
      <c r="U23" s="227">
        <v>5.0</v>
      </c>
      <c r="V23" s="226">
        <v>0.08333333333333333</v>
      </c>
      <c r="W23" s="227">
        <v>30.0</v>
      </c>
      <c r="X23" s="226">
        <v>0.5</v>
      </c>
      <c r="Y23" s="227"/>
      <c r="Z23" s="228"/>
      <c r="AA23" s="227"/>
      <c r="AB23" s="228">
        <v>0.011000000000000001</v>
      </c>
      <c r="AC23" s="225"/>
      <c r="AD23" s="225"/>
      <c r="AE23" s="227"/>
      <c r="AF23" s="225" t="s">
        <v>907</v>
      </c>
      <c r="AG23" s="229"/>
    </row>
    <row r="24">
      <c r="A24" s="225" t="s">
        <v>98</v>
      </c>
      <c r="B24" s="225" t="s">
        <v>741</v>
      </c>
      <c r="C24" s="225" t="s">
        <v>59</v>
      </c>
      <c r="D24" s="226">
        <v>27.1</v>
      </c>
      <c r="E24" s="225" t="s">
        <v>13</v>
      </c>
      <c r="F24" s="227">
        <v>44.0</v>
      </c>
      <c r="G24" s="227">
        <v>13.0</v>
      </c>
      <c r="H24" s="227">
        <v>21.0</v>
      </c>
      <c r="I24" s="227">
        <v>34.0</v>
      </c>
      <c r="J24" s="226">
        <v>0.7727272727272727</v>
      </c>
      <c r="K24" s="226">
        <v>64.9090909090909</v>
      </c>
      <c r="L24" s="227">
        <v>69.0</v>
      </c>
      <c r="M24" s="226">
        <v>1.5681818181818181</v>
      </c>
      <c r="N24" s="228">
        <v>0.18840579710144928</v>
      </c>
      <c r="O24" s="227">
        <v>9.0</v>
      </c>
      <c r="P24" s="226">
        <v>0.20454545454545456</v>
      </c>
      <c r="Q24" s="225" t="s">
        <v>909</v>
      </c>
      <c r="R24" s="228">
        <v>0.633</v>
      </c>
      <c r="S24" s="225" t="s">
        <v>911</v>
      </c>
      <c r="T24" s="227">
        <v>28.0</v>
      </c>
      <c r="U24" s="227">
        <v>24.0</v>
      </c>
      <c r="V24" s="226">
        <v>0.5454545454545454</v>
      </c>
      <c r="W24" s="227">
        <v>27.0</v>
      </c>
      <c r="X24" s="226">
        <v>0.6136363636363636</v>
      </c>
      <c r="Y24" s="227"/>
      <c r="Z24" s="228"/>
      <c r="AA24" s="227"/>
      <c r="AB24" s="228">
        <v>0.008</v>
      </c>
      <c r="AC24" s="225"/>
      <c r="AD24" s="225"/>
      <c r="AE24" s="227"/>
      <c r="AF24" s="225" t="s">
        <v>912</v>
      </c>
      <c r="AG24" s="229"/>
    </row>
    <row r="25">
      <c r="A25" s="225" t="s">
        <v>98</v>
      </c>
      <c r="B25" s="225" t="s">
        <v>765</v>
      </c>
      <c r="C25" s="225" t="s">
        <v>815</v>
      </c>
      <c r="D25" s="226">
        <v>24.4</v>
      </c>
      <c r="E25" s="225" t="s">
        <v>815</v>
      </c>
      <c r="F25" s="227">
        <v>82.0</v>
      </c>
      <c r="G25" s="227">
        <v>25.0</v>
      </c>
      <c r="H25" s="227">
        <v>27.0</v>
      </c>
      <c r="I25" s="227">
        <v>52.0</v>
      </c>
      <c r="J25" s="226">
        <v>0.6341463414634146</v>
      </c>
      <c r="K25" s="226">
        <v>53.26829268292683</v>
      </c>
      <c r="L25" s="227">
        <v>170.0</v>
      </c>
      <c r="M25" s="226">
        <v>2.073170731707317</v>
      </c>
      <c r="N25" s="228">
        <v>0.14705882352941177</v>
      </c>
      <c r="O25" s="227">
        <v>17.0</v>
      </c>
      <c r="P25" s="226">
        <v>0.2073170731707317</v>
      </c>
      <c r="Q25" s="225" t="s">
        <v>914</v>
      </c>
      <c r="R25" s="228">
        <v>0.557</v>
      </c>
      <c r="S25" s="225" t="s">
        <v>915</v>
      </c>
      <c r="T25" s="227">
        <v>25.0</v>
      </c>
      <c r="U25" s="227">
        <v>78.0</v>
      </c>
      <c r="V25" s="226">
        <v>0.9512195121951219</v>
      </c>
      <c r="W25" s="227">
        <v>31.0</v>
      </c>
      <c r="X25" s="226">
        <v>0.3780487804878049</v>
      </c>
      <c r="Y25" s="227"/>
      <c r="Z25" s="228"/>
      <c r="AA25" s="227"/>
      <c r="AB25" s="228">
        <v>0.002</v>
      </c>
      <c r="AC25" s="225"/>
      <c r="AD25" s="225"/>
      <c r="AE25" s="227"/>
      <c r="AF25" s="225" t="s">
        <v>840</v>
      </c>
      <c r="AG25" s="229"/>
    </row>
    <row r="26">
      <c r="A26" s="225" t="s">
        <v>98</v>
      </c>
      <c r="B26" s="225" t="s">
        <v>685</v>
      </c>
      <c r="C26" s="225" t="s">
        <v>13</v>
      </c>
      <c r="D26" s="226">
        <v>21.1</v>
      </c>
      <c r="E26" s="225" t="s">
        <v>13</v>
      </c>
      <c r="F26" s="227">
        <v>65.0</v>
      </c>
      <c r="G26" s="227">
        <v>13.0</v>
      </c>
      <c r="H26" s="227">
        <v>30.0</v>
      </c>
      <c r="I26" s="227">
        <v>43.0</v>
      </c>
      <c r="J26" s="226">
        <v>0.6615384615384615</v>
      </c>
      <c r="K26" s="226">
        <v>55.56923076923077</v>
      </c>
      <c r="L26" s="227">
        <v>116.0</v>
      </c>
      <c r="M26" s="226">
        <v>1.7846153846153847</v>
      </c>
      <c r="N26" s="228">
        <v>0.11206896551724138</v>
      </c>
      <c r="O26" s="227">
        <v>5.0</v>
      </c>
      <c r="P26" s="226">
        <v>0.07692307692307693</v>
      </c>
      <c r="Q26" s="225" t="s">
        <v>918</v>
      </c>
      <c r="R26" s="228">
        <v>0.35700000000000004</v>
      </c>
      <c r="S26" s="225" t="s">
        <v>919</v>
      </c>
      <c r="T26" s="227">
        <v>42.0</v>
      </c>
      <c r="U26" s="227">
        <v>40.0</v>
      </c>
      <c r="V26" s="226">
        <v>0.6153846153846154</v>
      </c>
      <c r="W26" s="227">
        <v>22.0</v>
      </c>
      <c r="X26" s="226">
        <v>0.3384615384615385</v>
      </c>
      <c r="Y26" s="227"/>
      <c r="Z26" s="228"/>
      <c r="AA26" s="227"/>
      <c r="AB26" s="228">
        <v>0.19699999999999998</v>
      </c>
      <c r="AC26" s="225"/>
      <c r="AD26" s="225"/>
      <c r="AE26" s="227"/>
      <c r="AF26" s="225" t="s">
        <v>921</v>
      </c>
      <c r="AG26" s="229"/>
    </row>
    <row r="27">
      <c r="A27" s="225" t="s">
        <v>98</v>
      </c>
      <c r="B27" s="225" t="s">
        <v>922</v>
      </c>
      <c r="C27" s="225" t="s">
        <v>13</v>
      </c>
      <c r="D27" s="226">
        <v>22.2</v>
      </c>
      <c r="E27" s="225" t="s">
        <v>13</v>
      </c>
      <c r="F27" s="227">
        <v>12.0</v>
      </c>
      <c r="G27" s="227">
        <v>3.0</v>
      </c>
      <c r="H27" s="227">
        <v>2.0</v>
      </c>
      <c r="I27" s="227">
        <v>5.0</v>
      </c>
      <c r="J27" s="226">
        <v>0.4166666666666667</v>
      </c>
      <c r="K27" s="226">
        <v>35.0</v>
      </c>
      <c r="L27" s="227">
        <v>20.0</v>
      </c>
      <c r="M27" s="226">
        <v>1.6666666666666667</v>
      </c>
      <c r="N27" s="228">
        <v>0.15</v>
      </c>
      <c r="O27" s="227">
        <v>0.0</v>
      </c>
      <c r="P27" s="226">
        <v>0.0</v>
      </c>
      <c r="Q27" s="225" t="s">
        <v>924</v>
      </c>
      <c r="R27" s="228">
        <v>0.298</v>
      </c>
      <c r="S27" s="225" t="s">
        <v>925</v>
      </c>
      <c r="T27" s="227">
        <v>4.0</v>
      </c>
      <c r="U27" s="227">
        <v>9.0</v>
      </c>
      <c r="V27" s="226">
        <v>0.75</v>
      </c>
      <c r="W27" s="227">
        <v>12.0</v>
      </c>
      <c r="X27" s="226">
        <v>1.0</v>
      </c>
      <c r="Y27" s="227"/>
      <c r="Z27" s="228"/>
      <c r="AA27" s="227"/>
      <c r="AB27" s="228">
        <v>0.003</v>
      </c>
      <c r="AC27" s="225"/>
      <c r="AD27" s="225"/>
      <c r="AE27" s="227"/>
      <c r="AF27" s="225" t="s">
        <v>927</v>
      </c>
      <c r="AG27" s="229"/>
    </row>
    <row r="28">
      <c r="A28" s="225" t="s">
        <v>98</v>
      </c>
      <c r="B28" s="225" t="s">
        <v>928</v>
      </c>
      <c r="C28" s="225" t="s">
        <v>59</v>
      </c>
      <c r="D28" s="226">
        <v>20.1</v>
      </c>
      <c r="E28" s="225" t="s">
        <v>815</v>
      </c>
      <c r="F28" s="227">
        <v>9.0</v>
      </c>
      <c r="G28" s="227">
        <v>1.0</v>
      </c>
      <c r="H28" s="227">
        <v>3.0</v>
      </c>
      <c r="I28" s="227">
        <v>4.0</v>
      </c>
      <c r="J28" s="226">
        <v>0.4444444444444444</v>
      </c>
      <c r="K28" s="226">
        <v>37.33333333333333</v>
      </c>
      <c r="L28" s="227">
        <v>15.0</v>
      </c>
      <c r="M28" s="226">
        <v>1.6666666666666667</v>
      </c>
      <c r="N28" s="228">
        <v>0.06666666666666667</v>
      </c>
      <c r="O28" s="227">
        <v>0.0</v>
      </c>
      <c r="P28" s="226">
        <v>0.0</v>
      </c>
      <c r="Q28" s="225" t="s">
        <v>877</v>
      </c>
      <c r="R28" s="228">
        <v>0.0</v>
      </c>
      <c r="S28" s="225" t="s">
        <v>930</v>
      </c>
      <c r="T28" s="227">
        <v>0.0</v>
      </c>
      <c r="U28" s="227">
        <v>10.0</v>
      </c>
      <c r="V28" s="226">
        <v>1.1111111111111112</v>
      </c>
      <c r="W28" s="227">
        <v>3.0</v>
      </c>
      <c r="X28" s="226">
        <v>0.3333333333333333</v>
      </c>
      <c r="Y28" s="227"/>
      <c r="Z28" s="228"/>
      <c r="AA28" s="227"/>
      <c r="AB28" s="228">
        <v>0.0</v>
      </c>
      <c r="AC28" s="225"/>
      <c r="AD28" s="225"/>
      <c r="AE28" s="227"/>
      <c r="AF28" s="225" t="s">
        <v>932</v>
      </c>
      <c r="AG28" s="229"/>
    </row>
    <row r="29">
      <c r="A29" s="225" t="s">
        <v>155</v>
      </c>
      <c r="B29" s="225" t="s">
        <v>461</v>
      </c>
      <c r="C29" s="225" t="s">
        <v>13</v>
      </c>
      <c r="D29" s="226">
        <v>26.2</v>
      </c>
      <c r="E29" s="225" t="s">
        <v>13</v>
      </c>
      <c r="F29" s="227">
        <v>79.0</v>
      </c>
      <c r="G29" s="227">
        <v>31.0</v>
      </c>
      <c r="H29" s="227">
        <v>39.0</v>
      </c>
      <c r="I29" s="227">
        <v>70.0</v>
      </c>
      <c r="J29" s="226">
        <v>0.8860759493670886</v>
      </c>
      <c r="K29" s="226">
        <v>74.43037974683544</v>
      </c>
      <c r="L29" s="227">
        <v>203.0</v>
      </c>
      <c r="M29" s="226">
        <v>2.569620253164557</v>
      </c>
      <c r="N29" s="228">
        <v>0.15270935960591134</v>
      </c>
      <c r="O29" s="227">
        <v>29.0</v>
      </c>
      <c r="P29" s="226">
        <v>0.3670886075949367</v>
      </c>
      <c r="Q29" s="225" t="s">
        <v>934</v>
      </c>
      <c r="R29" s="228">
        <v>0.613</v>
      </c>
      <c r="S29" s="225" t="s">
        <v>935</v>
      </c>
      <c r="T29" s="227">
        <v>66.0</v>
      </c>
      <c r="U29" s="227">
        <v>148.0</v>
      </c>
      <c r="V29" s="226">
        <v>1.8734177215189873</v>
      </c>
      <c r="W29" s="227">
        <v>16.0</v>
      </c>
      <c r="X29" s="226">
        <v>0.20253164556962025</v>
      </c>
      <c r="Y29" s="227"/>
      <c r="Z29" s="228"/>
      <c r="AA29" s="227"/>
      <c r="AB29" s="228">
        <v>0.0</v>
      </c>
      <c r="AC29" s="225"/>
      <c r="AD29" s="225"/>
      <c r="AE29" s="227"/>
      <c r="AF29" s="225" t="s">
        <v>874</v>
      </c>
      <c r="AG29" s="229"/>
    </row>
    <row r="30">
      <c r="A30" s="225" t="s">
        <v>155</v>
      </c>
      <c r="B30" s="225" t="s">
        <v>289</v>
      </c>
      <c r="C30" s="225" t="s">
        <v>59</v>
      </c>
      <c r="D30" s="226">
        <v>28.9</v>
      </c>
      <c r="E30" s="225" t="s">
        <v>13</v>
      </c>
      <c r="F30" s="227">
        <v>79.0</v>
      </c>
      <c r="G30" s="227">
        <v>27.0</v>
      </c>
      <c r="H30" s="227">
        <v>53.0</v>
      </c>
      <c r="I30" s="227">
        <v>80.0</v>
      </c>
      <c r="J30" s="226">
        <v>1.0126582278481013</v>
      </c>
      <c r="K30" s="226">
        <v>85.0632911392405</v>
      </c>
      <c r="L30" s="227">
        <v>195.0</v>
      </c>
      <c r="M30" s="226">
        <v>2.4683544303797467</v>
      </c>
      <c r="N30" s="228">
        <v>0.13846153846153847</v>
      </c>
      <c r="O30" s="227">
        <v>27.0</v>
      </c>
      <c r="P30" s="226">
        <v>0.34177215189873417</v>
      </c>
      <c r="Q30" s="225" t="s">
        <v>938</v>
      </c>
      <c r="R30" s="228">
        <v>0.6509999999999999</v>
      </c>
      <c r="S30" s="225" t="s">
        <v>939</v>
      </c>
      <c r="T30" s="227">
        <v>46.0</v>
      </c>
      <c r="U30" s="227">
        <v>63.0</v>
      </c>
      <c r="V30" s="226">
        <v>0.7974683544303798</v>
      </c>
      <c r="W30" s="227">
        <v>23.0</v>
      </c>
      <c r="X30" s="226">
        <v>0.2911392405063291</v>
      </c>
      <c r="Y30" s="227"/>
      <c r="Z30" s="228"/>
      <c r="AA30" s="227"/>
      <c r="AB30" s="228">
        <v>0.36700000000000005</v>
      </c>
      <c r="AC30" s="225"/>
      <c r="AD30" s="225"/>
      <c r="AE30" s="227"/>
      <c r="AF30" s="225" t="s">
        <v>941</v>
      </c>
      <c r="AG30" s="229"/>
    </row>
    <row r="31">
      <c r="A31" s="225" t="s">
        <v>155</v>
      </c>
      <c r="B31" s="225" t="s">
        <v>403</v>
      </c>
      <c r="C31" s="225" t="s">
        <v>815</v>
      </c>
      <c r="D31" s="226">
        <v>24.4</v>
      </c>
      <c r="E31" s="225" t="s">
        <v>815</v>
      </c>
      <c r="F31" s="227">
        <v>71.0</v>
      </c>
      <c r="G31" s="227">
        <v>32.0</v>
      </c>
      <c r="H31" s="227">
        <v>34.0</v>
      </c>
      <c r="I31" s="227">
        <v>66.0</v>
      </c>
      <c r="J31" s="226">
        <v>0.9295774647887324</v>
      </c>
      <c r="K31" s="226">
        <v>78.08450704225352</v>
      </c>
      <c r="L31" s="227">
        <v>224.0</v>
      </c>
      <c r="M31" s="226">
        <v>3.1549295774647885</v>
      </c>
      <c r="N31" s="228">
        <v>0.14285714285714285</v>
      </c>
      <c r="O31" s="227">
        <v>21.0</v>
      </c>
      <c r="P31" s="226">
        <v>0.29577464788732394</v>
      </c>
      <c r="Q31" s="225" t="s">
        <v>942</v>
      </c>
      <c r="R31" s="228">
        <v>0.636</v>
      </c>
      <c r="S31" s="225" t="s">
        <v>943</v>
      </c>
      <c r="T31" s="227">
        <v>23.0</v>
      </c>
      <c r="U31" s="227">
        <v>81.0</v>
      </c>
      <c r="V31" s="226">
        <v>1.1408450704225352</v>
      </c>
      <c r="W31" s="227">
        <v>27.0</v>
      </c>
      <c r="X31" s="226">
        <v>0.38028169014084506</v>
      </c>
      <c r="Y31" s="227"/>
      <c r="Z31" s="228"/>
      <c r="AA31" s="227"/>
      <c r="AB31" s="228">
        <v>0.342</v>
      </c>
      <c r="AC31" s="225"/>
      <c r="AD31" s="225"/>
      <c r="AE31" s="227"/>
      <c r="AF31" s="225" t="s">
        <v>944</v>
      </c>
      <c r="AG31" s="229"/>
    </row>
    <row r="32">
      <c r="A32" s="225" t="s">
        <v>155</v>
      </c>
      <c r="B32" s="225" t="s">
        <v>842</v>
      </c>
      <c r="C32" s="225" t="s">
        <v>13</v>
      </c>
      <c r="D32" s="226">
        <v>34.6</v>
      </c>
      <c r="E32" s="225" t="s">
        <v>13</v>
      </c>
      <c r="F32" s="227">
        <v>80.0</v>
      </c>
      <c r="G32" s="227">
        <v>18.0</v>
      </c>
      <c r="H32" s="227">
        <v>30.0</v>
      </c>
      <c r="I32" s="227">
        <v>48.0</v>
      </c>
      <c r="J32" s="226">
        <v>0.6</v>
      </c>
      <c r="K32" s="226">
        <v>50.4</v>
      </c>
      <c r="L32" s="227">
        <v>137.0</v>
      </c>
      <c r="M32" s="226">
        <v>1.7125</v>
      </c>
      <c r="N32" s="228">
        <v>0.13138686131386862</v>
      </c>
      <c r="O32" s="227">
        <v>7.0</v>
      </c>
      <c r="P32" s="226">
        <v>0.0875</v>
      </c>
      <c r="Q32" s="225" t="s">
        <v>946</v>
      </c>
      <c r="R32" s="228">
        <v>0.348</v>
      </c>
      <c r="S32" s="225" t="s">
        <v>947</v>
      </c>
      <c r="T32" s="227">
        <v>44.0</v>
      </c>
      <c r="U32" s="227">
        <v>53.0</v>
      </c>
      <c r="V32" s="226">
        <v>0.6625</v>
      </c>
      <c r="W32" s="227">
        <v>30.0</v>
      </c>
      <c r="X32" s="226">
        <v>0.375</v>
      </c>
      <c r="Y32" s="227"/>
      <c r="Z32" s="228"/>
      <c r="AA32" s="227"/>
      <c r="AB32" s="228">
        <v>0.002</v>
      </c>
      <c r="AC32" s="225"/>
      <c r="AD32" s="225"/>
      <c r="AE32" s="227"/>
      <c r="AF32" s="225" t="s">
        <v>949</v>
      </c>
      <c r="AG32" s="229"/>
    </row>
    <row r="33">
      <c r="A33" s="225" t="s">
        <v>155</v>
      </c>
      <c r="B33" s="225" t="s">
        <v>778</v>
      </c>
      <c r="C33" s="225" t="s">
        <v>59</v>
      </c>
      <c r="D33" s="226">
        <v>23.3</v>
      </c>
      <c r="E33" s="225" t="s">
        <v>815</v>
      </c>
      <c r="F33" s="227">
        <v>81.0</v>
      </c>
      <c r="G33" s="227">
        <v>21.0</v>
      </c>
      <c r="H33" s="227">
        <v>23.0</v>
      </c>
      <c r="I33" s="227">
        <v>44.0</v>
      </c>
      <c r="J33" s="226">
        <v>0.5432098765432098</v>
      </c>
      <c r="K33" s="226">
        <v>45.629629629629626</v>
      </c>
      <c r="L33" s="227">
        <v>166.0</v>
      </c>
      <c r="M33" s="226">
        <v>2.049382716049383</v>
      </c>
      <c r="N33" s="228">
        <v>0.12650602409638553</v>
      </c>
      <c r="O33" s="227">
        <v>9.0</v>
      </c>
      <c r="P33" s="226">
        <v>0.1111111111111111</v>
      </c>
      <c r="Q33" s="225" t="s">
        <v>951</v>
      </c>
      <c r="R33" s="228">
        <v>0.331</v>
      </c>
      <c r="S33" s="225" t="s">
        <v>952</v>
      </c>
      <c r="T33" s="227">
        <v>25.0</v>
      </c>
      <c r="U33" s="227">
        <v>50.0</v>
      </c>
      <c r="V33" s="226">
        <v>0.6172839506172839</v>
      </c>
      <c r="W33" s="227">
        <v>22.0</v>
      </c>
      <c r="X33" s="226">
        <v>0.2716049382716049</v>
      </c>
      <c r="Y33" s="227"/>
      <c r="Z33" s="228"/>
      <c r="AA33" s="227"/>
      <c r="AB33" s="228">
        <v>0.008</v>
      </c>
      <c r="AC33" s="225"/>
      <c r="AD33" s="225"/>
      <c r="AE33" s="227"/>
      <c r="AF33" s="225" t="s">
        <v>402</v>
      </c>
      <c r="AG33" s="229"/>
    </row>
    <row r="34">
      <c r="A34" s="225" t="s">
        <v>155</v>
      </c>
      <c r="B34" s="225" t="s">
        <v>703</v>
      </c>
      <c r="C34" s="225" t="s">
        <v>815</v>
      </c>
      <c r="D34" s="226">
        <v>22.9</v>
      </c>
      <c r="E34" s="225" t="s">
        <v>815</v>
      </c>
      <c r="F34" s="227">
        <v>81.0</v>
      </c>
      <c r="G34" s="227">
        <v>22.0</v>
      </c>
      <c r="H34" s="227">
        <v>31.0</v>
      </c>
      <c r="I34" s="227">
        <v>53.0</v>
      </c>
      <c r="J34" s="226">
        <v>0.654320987654321</v>
      </c>
      <c r="K34" s="226">
        <v>54.96296296296296</v>
      </c>
      <c r="L34" s="227">
        <v>174.0</v>
      </c>
      <c r="M34" s="226">
        <v>2.1481481481481484</v>
      </c>
      <c r="N34" s="228">
        <v>0.12643678160919541</v>
      </c>
      <c r="O34" s="227">
        <v>12.0</v>
      </c>
      <c r="P34" s="226">
        <v>0.14814814814814814</v>
      </c>
      <c r="Q34" s="225" t="s">
        <v>954</v>
      </c>
      <c r="R34" s="228">
        <v>0.45899999999999996</v>
      </c>
      <c r="S34" s="225" t="s">
        <v>956</v>
      </c>
      <c r="T34" s="227">
        <v>40.0</v>
      </c>
      <c r="U34" s="227">
        <v>13.0</v>
      </c>
      <c r="V34" s="226">
        <v>0.16049382716049382</v>
      </c>
      <c r="W34" s="227">
        <v>34.0</v>
      </c>
      <c r="X34" s="226">
        <v>0.41975308641975306</v>
      </c>
      <c r="Y34" s="227"/>
      <c r="Z34" s="228"/>
      <c r="AA34" s="227"/>
      <c r="AB34" s="228">
        <v>0.006999999999999999</v>
      </c>
      <c r="AC34" s="225"/>
      <c r="AD34" s="225"/>
      <c r="AE34" s="227"/>
      <c r="AF34" s="225" t="s">
        <v>840</v>
      </c>
      <c r="AG34" s="229"/>
    </row>
    <row r="35">
      <c r="A35" s="225" t="s">
        <v>155</v>
      </c>
      <c r="B35" s="225" t="s">
        <v>398</v>
      </c>
      <c r="C35" s="225" t="s">
        <v>13</v>
      </c>
      <c r="D35" s="226">
        <v>30.3</v>
      </c>
      <c r="E35" s="225" t="s">
        <v>13</v>
      </c>
      <c r="F35" s="227">
        <v>82.0</v>
      </c>
      <c r="G35" s="227">
        <v>26.0</v>
      </c>
      <c r="H35" s="227">
        <v>45.0</v>
      </c>
      <c r="I35" s="227">
        <v>71.0</v>
      </c>
      <c r="J35" s="226">
        <v>0.8658536585365854</v>
      </c>
      <c r="K35" s="226">
        <v>72.73170731707317</v>
      </c>
      <c r="L35" s="227">
        <v>207.0</v>
      </c>
      <c r="M35" s="226">
        <v>2.524390243902439</v>
      </c>
      <c r="N35" s="228">
        <v>0.12560386473429952</v>
      </c>
      <c r="O35" s="227">
        <v>29.0</v>
      </c>
      <c r="P35" s="226">
        <v>0.35365853658536583</v>
      </c>
      <c r="Q35" s="225" t="s">
        <v>957</v>
      </c>
      <c r="R35" s="228">
        <v>0.616</v>
      </c>
      <c r="S35" s="225" t="s">
        <v>958</v>
      </c>
      <c r="T35" s="227">
        <v>14.0</v>
      </c>
      <c r="U35" s="227">
        <v>21.0</v>
      </c>
      <c r="V35" s="226">
        <v>0.25609756097560976</v>
      </c>
      <c r="W35" s="227">
        <v>24.0</v>
      </c>
      <c r="X35" s="226">
        <v>0.2926829268292683</v>
      </c>
      <c r="Y35" s="227"/>
      <c r="Z35" s="228"/>
      <c r="AA35" s="227"/>
      <c r="AB35" s="228">
        <v>0.002</v>
      </c>
      <c r="AC35" s="225"/>
      <c r="AD35" s="225"/>
      <c r="AE35" s="227"/>
      <c r="AF35" s="225" t="s">
        <v>79</v>
      </c>
      <c r="AG35" s="229"/>
    </row>
    <row r="36">
      <c r="A36" s="225" t="s">
        <v>262</v>
      </c>
      <c r="B36" s="225" t="s">
        <v>860</v>
      </c>
      <c r="C36" s="225" t="s">
        <v>13</v>
      </c>
      <c r="D36" s="226">
        <v>33.0</v>
      </c>
      <c r="E36" s="225" t="s">
        <v>13</v>
      </c>
      <c r="F36" s="227">
        <v>50.0</v>
      </c>
      <c r="G36" s="227">
        <v>10.0</v>
      </c>
      <c r="H36" s="227">
        <v>15.0</v>
      </c>
      <c r="I36" s="227">
        <v>25.0</v>
      </c>
      <c r="J36" s="226">
        <v>0.5</v>
      </c>
      <c r="K36" s="226">
        <v>42.0</v>
      </c>
      <c r="L36" s="227">
        <v>83.0</v>
      </c>
      <c r="M36" s="226">
        <v>1.66</v>
      </c>
      <c r="N36" s="228">
        <v>0.12048192771084337</v>
      </c>
      <c r="O36" s="227">
        <v>7.0</v>
      </c>
      <c r="P36" s="226">
        <v>0.14</v>
      </c>
      <c r="Q36" s="225" t="s">
        <v>961</v>
      </c>
      <c r="R36" s="228">
        <v>0.593</v>
      </c>
      <c r="S36" s="225" t="s">
        <v>962</v>
      </c>
      <c r="T36" s="227">
        <v>41.0</v>
      </c>
      <c r="U36" s="227">
        <v>30.0</v>
      </c>
      <c r="V36" s="226">
        <v>0.6</v>
      </c>
      <c r="W36" s="227">
        <v>30.0</v>
      </c>
      <c r="X36" s="226">
        <v>0.6</v>
      </c>
      <c r="Y36" s="227"/>
      <c r="Z36" s="228"/>
      <c r="AA36" s="227"/>
      <c r="AB36" s="228">
        <v>0.221</v>
      </c>
      <c r="AC36" s="225"/>
      <c r="AD36" s="225"/>
      <c r="AE36" s="227"/>
      <c r="AF36" s="225" t="s">
        <v>963</v>
      </c>
      <c r="AG36" s="229"/>
    </row>
    <row r="37">
      <c r="A37" s="225" t="s">
        <v>262</v>
      </c>
      <c r="B37" s="225" t="s">
        <v>964</v>
      </c>
      <c r="C37" s="225" t="s">
        <v>59</v>
      </c>
      <c r="D37" s="226">
        <v>37.3</v>
      </c>
      <c r="E37" s="225" t="s">
        <v>13</v>
      </c>
      <c r="F37" s="227">
        <v>82.0</v>
      </c>
      <c r="G37" s="227">
        <v>17.0</v>
      </c>
      <c r="H37" s="227">
        <v>26.0</v>
      </c>
      <c r="I37" s="227">
        <v>43.0</v>
      </c>
      <c r="J37" s="226">
        <v>0.524390243902439</v>
      </c>
      <c r="K37" s="226">
        <v>44.048780487804876</v>
      </c>
      <c r="L37" s="227">
        <v>186.0</v>
      </c>
      <c r="M37" s="226">
        <v>2.268292682926829</v>
      </c>
      <c r="N37" s="228">
        <v>0.0913978494623656</v>
      </c>
      <c r="O37" s="227">
        <v>3.0</v>
      </c>
      <c r="P37" s="226">
        <v>0.036585365853658534</v>
      </c>
      <c r="Q37" s="225" t="s">
        <v>966</v>
      </c>
      <c r="R37" s="228">
        <v>0.235</v>
      </c>
      <c r="S37" s="225" t="s">
        <v>967</v>
      </c>
      <c r="T37" s="227">
        <v>16.0</v>
      </c>
      <c r="U37" s="227">
        <v>23.0</v>
      </c>
      <c r="V37" s="226">
        <v>0.2804878048780488</v>
      </c>
      <c r="W37" s="227">
        <v>28.0</v>
      </c>
      <c r="X37" s="226">
        <v>0.34146341463414637</v>
      </c>
      <c r="Y37" s="227"/>
      <c r="Z37" s="228"/>
      <c r="AA37" s="227"/>
      <c r="AB37" s="228">
        <v>0.511</v>
      </c>
      <c r="AC37" s="225"/>
      <c r="AD37" s="225"/>
      <c r="AE37" s="227"/>
      <c r="AF37" s="225" t="s">
        <v>308</v>
      </c>
      <c r="AG37" s="229"/>
    </row>
    <row r="38">
      <c r="A38" s="225" t="s">
        <v>262</v>
      </c>
      <c r="B38" s="225" t="s">
        <v>969</v>
      </c>
      <c r="C38" s="225" t="s">
        <v>815</v>
      </c>
      <c r="D38" s="226">
        <v>26.3</v>
      </c>
      <c r="E38" s="225" t="s">
        <v>13</v>
      </c>
      <c r="F38" s="227">
        <v>82.0</v>
      </c>
      <c r="G38" s="227">
        <v>20.0</v>
      </c>
      <c r="H38" s="227">
        <v>18.0</v>
      </c>
      <c r="I38" s="227">
        <v>38.0</v>
      </c>
      <c r="J38" s="226">
        <v>0.4634146341463415</v>
      </c>
      <c r="K38" s="226">
        <v>38.926829268292686</v>
      </c>
      <c r="L38" s="227">
        <v>142.0</v>
      </c>
      <c r="M38" s="226">
        <v>1.7317073170731707</v>
      </c>
      <c r="N38" s="228">
        <v>0.14084507042253522</v>
      </c>
      <c r="O38" s="227">
        <v>3.0</v>
      </c>
      <c r="P38" s="226">
        <v>0.036585365853658534</v>
      </c>
      <c r="Q38" s="225" t="s">
        <v>970</v>
      </c>
      <c r="R38" s="228">
        <v>0.239</v>
      </c>
      <c r="S38" s="225" t="s">
        <v>971</v>
      </c>
      <c r="T38" s="227">
        <v>28.0</v>
      </c>
      <c r="U38" s="227">
        <v>49.0</v>
      </c>
      <c r="V38" s="226">
        <v>0.5975609756097561</v>
      </c>
      <c r="W38" s="227">
        <v>52.0</v>
      </c>
      <c r="X38" s="226">
        <v>0.6341463414634146</v>
      </c>
      <c r="Y38" s="227"/>
      <c r="Z38" s="228"/>
      <c r="AA38" s="227"/>
      <c r="AB38" s="228">
        <v>0.419</v>
      </c>
      <c r="AC38" s="225"/>
      <c r="AD38" s="225"/>
      <c r="AE38" s="227"/>
      <c r="AF38" s="225" t="s">
        <v>349</v>
      </c>
      <c r="AG38" s="229"/>
    </row>
    <row r="39">
      <c r="A39" s="225" t="s">
        <v>262</v>
      </c>
      <c r="B39" s="225" t="s">
        <v>973</v>
      </c>
      <c r="C39" s="225" t="s">
        <v>59</v>
      </c>
      <c r="D39" s="226">
        <v>27.1</v>
      </c>
      <c r="E39" s="225" t="s">
        <v>13</v>
      </c>
      <c r="F39" s="227">
        <v>82.0</v>
      </c>
      <c r="G39" s="227">
        <v>22.0</v>
      </c>
      <c r="H39" s="227">
        <v>21.0</v>
      </c>
      <c r="I39" s="227">
        <v>43.0</v>
      </c>
      <c r="J39" s="226">
        <v>0.524390243902439</v>
      </c>
      <c r="K39" s="226">
        <v>44.048780487804876</v>
      </c>
      <c r="L39" s="227">
        <v>140.0</v>
      </c>
      <c r="M39" s="226">
        <v>1.7073170731707317</v>
      </c>
      <c r="N39" s="228">
        <v>0.15714285714285714</v>
      </c>
      <c r="O39" s="227">
        <v>16.0</v>
      </c>
      <c r="P39" s="226">
        <v>0.1951219512195122</v>
      </c>
      <c r="Q39" s="225" t="s">
        <v>974</v>
      </c>
      <c r="R39" s="228">
        <v>0.58</v>
      </c>
      <c r="S39" s="225" t="s">
        <v>976</v>
      </c>
      <c r="T39" s="227">
        <v>28.0</v>
      </c>
      <c r="U39" s="227">
        <v>59.0</v>
      </c>
      <c r="V39" s="226">
        <v>0.7195121951219512</v>
      </c>
      <c r="W39" s="227">
        <v>39.0</v>
      </c>
      <c r="X39" s="226">
        <v>0.47560975609756095</v>
      </c>
      <c r="Y39" s="227"/>
      <c r="Z39" s="228"/>
      <c r="AA39" s="227"/>
      <c r="AB39" s="228">
        <v>0.004</v>
      </c>
      <c r="AC39" s="225"/>
      <c r="AD39" s="225"/>
      <c r="AE39" s="227"/>
      <c r="AF39" s="225" t="s">
        <v>977</v>
      </c>
      <c r="AG39" s="229"/>
    </row>
    <row r="40">
      <c r="A40" s="225" t="s">
        <v>262</v>
      </c>
      <c r="B40" s="225" t="s">
        <v>753</v>
      </c>
      <c r="C40" s="225" t="s">
        <v>815</v>
      </c>
      <c r="D40" s="226">
        <v>23.6</v>
      </c>
      <c r="E40" s="225" t="s">
        <v>815</v>
      </c>
      <c r="F40" s="227">
        <v>80.0</v>
      </c>
      <c r="G40" s="227">
        <v>18.0</v>
      </c>
      <c r="H40" s="227">
        <v>27.0</v>
      </c>
      <c r="I40" s="227">
        <v>45.0</v>
      </c>
      <c r="J40" s="226">
        <v>0.5625</v>
      </c>
      <c r="K40" s="226">
        <v>47.25</v>
      </c>
      <c r="L40" s="227">
        <v>197.0</v>
      </c>
      <c r="M40" s="226">
        <v>2.4625</v>
      </c>
      <c r="N40" s="228">
        <v>0.09137055837563451</v>
      </c>
      <c r="O40" s="227">
        <v>15.0</v>
      </c>
      <c r="P40" s="226">
        <v>0.1875</v>
      </c>
      <c r="Q40" s="225" t="s">
        <v>914</v>
      </c>
      <c r="R40" s="228">
        <v>0.603</v>
      </c>
      <c r="S40" s="225" t="s">
        <v>979</v>
      </c>
      <c r="T40" s="227">
        <v>32.0</v>
      </c>
      <c r="U40" s="227">
        <v>23.0</v>
      </c>
      <c r="V40" s="226">
        <v>0.2875</v>
      </c>
      <c r="W40" s="227">
        <v>23.0</v>
      </c>
      <c r="X40" s="226">
        <v>0.2875</v>
      </c>
      <c r="Y40" s="227"/>
      <c r="Z40" s="228"/>
      <c r="AA40" s="227"/>
      <c r="AB40" s="228">
        <v>0.003</v>
      </c>
      <c r="AC40" s="225"/>
      <c r="AD40" s="225"/>
      <c r="AE40" s="227"/>
      <c r="AF40" s="225" t="s">
        <v>288</v>
      </c>
      <c r="AG40" s="229"/>
    </row>
    <row r="41">
      <c r="A41" s="225" t="s">
        <v>262</v>
      </c>
      <c r="B41" s="225" t="s">
        <v>876</v>
      </c>
      <c r="C41" s="225" t="s">
        <v>13</v>
      </c>
      <c r="D41" s="226">
        <v>20.3</v>
      </c>
      <c r="E41" s="225" t="s">
        <v>13</v>
      </c>
      <c r="F41" s="227">
        <v>37.0</v>
      </c>
      <c r="G41" s="227">
        <v>6.0</v>
      </c>
      <c r="H41" s="227">
        <v>14.0</v>
      </c>
      <c r="I41" s="227">
        <v>20.0</v>
      </c>
      <c r="J41" s="226">
        <v>0.5405405405405406</v>
      </c>
      <c r="K41" s="226">
        <v>45.40540540540541</v>
      </c>
      <c r="L41" s="227">
        <v>70.0</v>
      </c>
      <c r="M41" s="226">
        <v>1.8918918918918919</v>
      </c>
      <c r="N41" s="228">
        <v>0.08571428571428572</v>
      </c>
      <c r="O41" s="227">
        <v>7.0</v>
      </c>
      <c r="P41" s="226">
        <v>0.1891891891891892</v>
      </c>
      <c r="Q41" s="225" t="s">
        <v>981</v>
      </c>
      <c r="R41" s="228">
        <v>0.474</v>
      </c>
      <c r="S41" s="225" t="s">
        <v>854</v>
      </c>
      <c r="T41" s="227">
        <v>2.0</v>
      </c>
      <c r="U41" s="227">
        <v>11.0</v>
      </c>
      <c r="V41" s="226">
        <v>0.2972972972972973</v>
      </c>
      <c r="W41" s="227">
        <v>28.0</v>
      </c>
      <c r="X41" s="226">
        <v>0.7567567567567568</v>
      </c>
      <c r="Y41" s="227"/>
      <c r="Z41" s="228"/>
      <c r="AA41" s="227"/>
      <c r="AB41" s="228">
        <v>0.005</v>
      </c>
      <c r="AC41" s="225"/>
      <c r="AD41" s="225"/>
      <c r="AE41" s="227"/>
      <c r="AF41" s="225" t="s">
        <v>984</v>
      </c>
      <c r="AG41" s="229"/>
    </row>
    <row r="42">
      <c r="A42" s="225" t="s">
        <v>262</v>
      </c>
      <c r="B42" s="225" t="s">
        <v>940</v>
      </c>
      <c r="C42" s="225" t="s">
        <v>59</v>
      </c>
      <c r="D42" s="226">
        <v>32.9</v>
      </c>
      <c r="E42" s="225" t="s">
        <v>815</v>
      </c>
      <c r="F42" s="227">
        <v>52.0</v>
      </c>
      <c r="G42" s="227">
        <v>8.0</v>
      </c>
      <c r="H42" s="227">
        <v>13.0</v>
      </c>
      <c r="I42" s="227">
        <v>21.0</v>
      </c>
      <c r="J42" s="226">
        <v>0.40384615384615385</v>
      </c>
      <c r="K42" s="226">
        <v>33.92307692307693</v>
      </c>
      <c r="L42" s="227">
        <v>57.0</v>
      </c>
      <c r="M42" s="226">
        <v>1.0961538461538463</v>
      </c>
      <c r="N42" s="228">
        <v>0.14035087719298245</v>
      </c>
      <c r="O42" s="227">
        <v>2.0</v>
      </c>
      <c r="P42" s="226">
        <v>0.038461538461538464</v>
      </c>
      <c r="Q42" s="225" t="s">
        <v>985</v>
      </c>
      <c r="R42" s="228">
        <v>0.287</v>
      </c>
      <c r="S42" s="225" t="s">
        <v>986</v>
      </c>
      <c r="T42" s="227">
        <v>35.0</v>
      </c>
      <c r="U42" s="227">
        <v>22.0</v>
      </c>
      <c r="V42" s="226">
        <v>0.4230769230769231</v>
      </c>
      <c r="W42" s="227">
        <v>15.0</v>
      </c>
      <c r="X42" s="226">
        <v>0.28846153846153844</v>
      </c>
      <c r="Y42" s="227"/>
      <c r="Z42" s="228"/>
      <c r="AA42" s="227"/>
      <c r="AB42" s="228">
        <v>0.018000000000000002</v>
      </c>
      <c r="AC42" s="225"/>
      <c r="AD42" s="225"/>
      <c r="AE42" s="227"/>
      <c r="AF42" s="225" t="s">
        <v>349</v>
      </c>
      <c r="AG42" s="229"/>
    </row>
    <row r="43">
      <c r="A43" s="225" t="s">
        <v>225</v>
      </c>
      <c r="B43" s="225" t="s">
        <v>989</v>
      </c>
      <c r="C43" s="225" t="s">
        <v>13</v>
      </c>
      <c r="D43" s="226">
        <v>22.7</v>
      </c>
      <c r="E43" s="225" t="s">
        <v>815</v>
      </c>
      <c r="F43" s="227">
        <v>81.0</v>
      </c>
      <c r="G43" s="227">
        <v>12.0</v>
      </c>
      <c r="H43" s="227">
        <v>17.0</v>
      </c>
      <c r="I43" s="227">
        <v>29.0</v>
      </c>
      <c r="J43" s="226">
        <v>0.35802469135802467</v>
      </c>
      <c r="K43" s="226">
        <v>30.074074074074073</v>
      </c>
      <c r="L43" s="227">
        <v>109.0</v>
      </c>
      <c r="M43" s="226">
        <v>1.345679012345679</v>
      </c>
      <c r="N43" s="228">
        <v>0.11009174311926606</v>
      </c>
      <c r="O43" s="227">
        <v>4.0</v>
      </c>
      <c r="P43" s="226">
        <v>0.04938271604938271</v>
      </c>
      <c r="Q43" s="225" t="s">
        <v>990</v>
      </c>
      <c r="R43" s="228">
        <v>0.275</v>
      </c>
      <c r="S43" s="225" t="s">
        <v>991</v>
      </c>
      <c r="T43" s="227">
        <v>14.0</v>
      </c>
      <c r="U43" s="227">
        <v>50.0</v>
      </c>
      <c r="V43" s="226">
        <v>0.6172839506172839</v>
      </c>
      <c r="W43" s="227">
        <v>37.0</v>
      </c>
      <c r="X43" s="226">
        <v>0.4567901234567901</v>
      </c>
      <c r="Y43" s="227"/>
      <c r="Z43" s="228"/>
      <c r="AA43" s="227"/>
      <c r="AB43" s="228">
        <v>0.348</v>
      </c>
      <c r="AC43" s="225"/>
      <c r="AD43" s="225"/>
      <c r="AE43" s="227"/>
      <c r="AF43" s="225" t="s">
        <v>459</v>
      </c>
      <c r="AG43" s="229"/>
    </row>
    <row r="44">
      <c r="A44" s="225" t="s">
        <v>225</v>
      </c>
      <c r="B44" s="225" t="s">
        <v>223</v>
      </c>
      <c r="C44" s="225" t="s">
        <v>59</v>
      </c>
      <c r="D44" s="226">
        <v>20.9</v>
      </c>
      <c r="E44" s="225" t="s">
        <v>815</v>
      </c>
      <c r="F44" s="227">
        <v>69.0</v>
      </c>
      <c r="G44" s="227">
        <v>30.0</v>
      </c>
      <c r="H44" s="227">
        <v>45.0</v>
      </c>
      <c r="I44" s="227">
        <v>75.0</v>
      </c>
      <c r="J44" s="226">
        <v>1.0869565217391304</v>
      </c>
      <c r="K44" s="226">
        <v>91.30434782608695</v>
      </c>
      <c r="L44" s="227">
        <v>226.0</v>
      </c>
      <c r="M44" s="226">
        <v>3.2753623188405796</v>
      </c>
      <c r="N44" s="228">
        <v>0.13274336283185842</v>
      </c>
      <c r="O44" s="227">
        <v>21.0</v>
      </c>
      <c r="P44" s="226">
        <v>0.30434782608695654</v>
      </c>
      <c r="Q44" s="225" t="s">
        <v>886</v>
      </c>
      <c r="R44" s="228">
        <v>0.722</v>
      </c>
      <c r="S44" s="225" t="s">
        <v>993</v>
      </c>
      <c r="T44" s="227">
        <v>50.0</v>
      </c>
      <c r="U44" s="227">
        <v>31.0</v>
      </c>
      <c r="V44" s="226">
        <v>0.4492753623188406</v>
      </c>
      <c r="W44" s="227">
        <v>27.0</v>
      </c>
      <c r="X44" s="226">
        <v>0.391304347826087</v>
      </c>
      <c r="Y44" s="227"/>
      <c r="Z44" s="228"/>
      <c r="AA44" s="227"/>
      <c r="AB44" s="228">
        <v>0.004</v>
      </c>
      <c r="AC44" s="225"/>
      <c r="AD44" s="225"/>
      <c r="AE44" s="227"/>
      <c r="AF44" s="225" t="s">
        <v>994</v>
      </c>
      <c r="AG44" s="229"/>
    </row>
    <row r="45">
      <c r="A45" s="225" t="s">
        <v>225</v>
      </c>
      <c r="B45" s="225" t="s">
        <v>716</v>
      </c>
      <c r="C45" s="225" t="s">
        <v>59</v>
      </c>
      <c r="D45" s="226">
        <v>19.1</v>
      </c>
      <c r="E45" s="225" t="s">
        <v>13</v>
      </c>
      <c r="F45" s="227">
        <v>12.0</v>
      </c>
      <c r="G45" s="227">
        <v>3.0</v>
      </c>
      <c r="H45" s="227">
        <v>6.0</v>
      </c>
      <c r="I45" s="227">
        <v>9.0</v>
      </c>
      <c r="J45" s="226">
        <v>0.75</v>
      </c>
      <c r="K45" s="226">
        <v>63.0</v>
      </c>
      <c r="L45" s="227">
        <v>36.0</v>
      </c>
      <c r="M45" s="226">
        <v>3.0</v>
      </c>
      <c r="N45" s="228">
        <v>0.08333333333333333</v>
      </c>
      <c r="O45" s="227">
        <v>2.0</v>
      </c>
      <c r="P45" s="226">
        <v>0.16666666666666666</v>
      </c>
      <c r="Q45" s="225" t="s">
        <v>995</v>
      </c>
      <c r="R45" s="228">
        <v>0.708</v>
      </c>
      <c r="S45" s="225" t="s">
        <v>996</v>
      </c>
      <c r="T45" s="227">
        <v>4.0</v>
      </c>
      <c r="U45" s="227">
        <v>8.0</v>
      </c>
      <c r="V45" s="226">
        <v>0.6666666666666666</v>
      </c>
      <c r="W45" s="227">
        <v>13.0</v>
      </c>
      <c r="X45" s="226">
        <v>1.0833333333333333</v>
      </c>
      <c r="Y45" s="227"/>
      <c r="Z45" s="228"/>
      <c r="AA45" s="227"/>
      <c r="AB45" s="228">
        <v>0.0</v>
      </c>
      <c r="AC45" s="225"/>
      <c r="AD45" s="225"/>
      <c r="AE45" s="227"/>
      <c r="AF45" s="225" t="s">
        <v>999</v>
      </c>
      <c r="AG45" s="229"/>
    </row>
    <row r="46">
      <c r="A46" s="225" t="s">
        <v>225</v>
      </c>
      <c r="B46" s="225" t="s">
        <v>776</v>
      </c>
      <c r="C46" s="225" t="s">
        <v>815</v>
      </c>
      <c r="D46" s="226">
        <v>31.3</v>
      </c>
      <c r="E46" s="225" t="s">
        <v>13</v>
      </c>
      <c r="F46" s="227">
        <v>79.0</v>
      </c>
      <c r="G46" s="227">
        <v>32.0</v>
      </c>
      <c r="H46" s="227">
        <v>26.0</v>
      </c>
      <c r="I46" s="227">
        <v>58.0</v>
      </c>
      <c r="J46" s="226">
        <v>0.7341772151898734</v>
      </c>
      <c r="K46" s="226">
        <v>61.67088607594937</v>
      </c>
      <c r="L46" s="227">
        <v>164.0</v>
      </c>
      <c r="M46" s="226">
        <v>2.0759493670886076</v>
      </c>
      <c r="N46" s="228">
        <v>0.1951219512195122</v>
      </c>
      <c r="O46" s="227">
        <v>21.0</v>
      </c>
      <c r="P46" s="226">
        <v>0.26582278481012656</v>
      </c>
      <c r="Q46" s="225" t="s">
        <v>1000</v>
      </c>
      <c r="R46" s="228">
        <v>0.6940000000000001</v>
      </c>
      <c r="S46" s="225" t="s">
        <v>1001</v>
      </c>
      <c r="T46" s="227">
        <v>42.0</v>
      </c>
      <c r="U46" s="227">
        <v>55.0</v>
      </c>
      <c r="V46" s="226">
        <v>0.6962025316455697</v>
      </c>
      <c r="W46" s="227">
        <v>24.0</v>
      </c>
      <c r="X46" s="226">
        <v>0.3037974683544304</v>
      </c>
      <c r="Y46" s="227"/>
      <c r="Z46" s="228"/>
      <c r="AA46" s="227"/>
      <c r="AB46" s="228">
        <v>0.0</v>
      </c>
      <c r="AC46" s="225"/>
      <c r="AD46" s="225"/>
      <c r="AE46" s="227"/>
      <c r="AF46" s="225" t="s">
        <v>864</v>
      </c>
      <c r="AG46" s="229"/>
    </row>
    <row r="47">
      <c r="A47" s="225" t="s">
        <v>225</v>
      </c>
      <c r="B47" s="225" t="s">
        <v>720</v>
      </c>
      <c r="C47" s="225" t="s">
        <v>59</v>
      </c>
      <c r="D47" s="226">
        <v>22.4</v>
      </c>
      <c r="E47" s="225" t="s">
        <v>815</v>
      </c>
      <c r="F47" s="227">
        <v>66.0</v>
      </c>
      <c r="G47" s="227">
        <v>15.0</v>
      </c>
      <c r="H47" s="227">
        <v>26.0</v>
      </c>
      <c r="I47" s="227">
        <v>41.0</v>
      </c>
      <c r="J47" s="226">
        <v>0.6212121212121212</v>
      </c>
      <c r="K47" s="226">
        <v>52.18181818181818</v>
      </c>
      <c r="L47" s="227">
        <v>138.0</v>
      </c>
      <c r="M47" s="226">
        <v>2.090909090909091</v>
      </c>
      <c r="N47" s="228">
        <v>0.10869565217391304</v>
      </c>
      <c r="O47" s="227">
        <v>12.0</v>
      </c>
      <c r="P47" s="226">
        <v>0.18181818181818182</v>
      </c>
      <c r="Q47" s="225" t="s">
        <v>938</v>
      </c>
      <c r="R47" s="228">
        <v>0.6559999999999999</v>
      </c>
      <c r="S47" s="225" t="s">
        <v>1004</v>
      </c>
      <c r="T47" s="227">
        <v>26.0</v>
      </c>
      <c r="U47" s="227">
        <v>37.0</v>
      </c>
      <c r="V47" s="226">
        <v>0.5606060606060606</v>
      </c>
      <c r="W47" s="227">
        <v>43.0</v>
      </c>
      <c r="X47" s="226">
        <v>0.6515151515151515</v>
      </c>
      <c r="Y47" s="227"/>
      <c r="Z47" s="228"/>
      <c r="AA47" s="227"/>
      <c r="AB47" s="228">
        <v>0.22899999999999998</v>
      </c>
      <c r="AC47" s="225"/>
      <c r="AD47" s="225"/>
      <c r="AE47" s="227"/>
      <c r="AF47" s="225" t="s">
        <v>1005</v>
      </c>
      <c r="AG47" s="229"/>
    </row>
    <row r="48">
      <c r="A48" s="225" t="s">
        <v>225</v>
      </c>
      <c r="B48" s="225" t="s">
        <v>1006</v>
      </c>
      <c r="C48" s="225" t="s">
        <v>815</v>
      </c>
      <c r="D48" s="226">
        <v>20.9</v>
      </c>
      <c r="E48" s="225" t="s">
        <v>13</v>
      </c>
      <c r="F48" s="227">
        <v>41.0</v>
      </c>
      <c r="G48" s="227">
        <v>10.0</v>
      </c>
      <c r="H48" s="227">
        <v>5.0</v>
      </c>
      <c r="I48" s="227">
        <v>15.0</v>
      </c>
      <c r="J48" s="226">
        <v>0.36585365853658536</v>
      </c>
      <c r="K48" s="226">
        <v>30.73170731707317</v>
      </c>
      <c r="L48" s="227">
        <v>57.0</v>
      </c>
      <c r="M48" s="226">
        <v>1.3902439024390243</v>
      </c>
      <c r="N48" s="228">
        <v>0.17543859649122806</v>
      </c>
      <c r="O48" s="227">
        <v>3.0</v>
      </c>
      <c r="P48" s="226">
        <v>0.07317073170731707</v>
      </c>
      <c r="Q48" s="225" t="s">
        <v>1008</v>
      </c>
      <c r="R48" s="228">
        <v>0.31</v>
      </c>
      <c r="S48" s="225" t="s">
        <v>1009</v>
      </c>
      <c r="T48" s="227">
        <v>10.0</v>
      </c>
      <c r="U48" s="227">
        <v>57.0</v>
      </c>
      <c r="V48" s="226">
        <v>1.3902439024390243</v>
      </c>
      <c r="W48" s="227">
        <v>12.0</v>
      </c>
      <c r="X48" s="226">
        <v>0.2926829268292683</v>
      </c>
      <c r="Y48" s="227"/>
      <c r="Z48" s="228"/>
      <c r="AA48" s="227"/>
      <c r="AB48" s="228">
        <v>0.001</v>
      </c>
      <c r="AC48" s="225"/>
      <c r="AD48" s="225"/>
      <c r="AE48" s="227"/>
      <c r="AF48" s="225" t="s">
        <v>1010</v>
      </c>
      <c r="AG48" s="229"/>
    </row>
    <row r="49">
      <c r="A49" s="225" t="s">
        <v>225</v>
      </c>
      <c r="B49" s="225" t="s">
        <v>1012</v>
      </c>
      <c r="C49" s="225" t="s">
        <v>13</v>
      </c>
      <c r="D49" s="226">
        <v>30.2</v>
      </c>
      <c r="E49" s="225" t="s">
        <v>13</v>
      </c>
      <c r="F49" s="227">
        <v>82.0</v>
      </c>
      <c r="G49" s="227">
        <v>15.0</v>
      </c>
      <c r="H49" s="227">
        <v>15.0</v>
      </c>
      <c r="I49" s="227">
        <v>30.0</v>
      </c>
      <c r="J49" s="226">
        <v>0.36585365853658536</v>
      </c>
      <c r="K49" s="226">
        <v>30.73170731707317</v>
      </c>
      <c r="L49" s="227">
        <v>122.0</v>
      </c>
      <c r="M49" s="226">
        <v>1.4878048780487805</v>
      </c>
      <c r="N49" s="228">
        <v>0.12295081967213115</v>
      </c>
      <c r="O49" s="227">
        <v>2.0</v>
      </c>
      <c r="P49" s="226">
        <v>0.024390243902439025</v>
      </c>
      <c r="Q49" s="225" t="s">
        <v>1013</v>
      </c>
      <c r="R49" s="228">
        <v>0.297</v>
      </c>
      <c r="S49" s="225" t="s">
        <v>1014</v>
      </c>
      <c r="T49" s="227">
        <v>46.0</v>
      </c>
      <c r="U49" s="227">
        <v>78.0</v>
      </c>
      <c r="V49" s="226">
        <v>0.9512195121951219</v>
      </c>
      <c r="W49" s="227">
        <v>21.0</v>
      </c>
      <c r="X49" s="226">
        <v>0.25609756097560976</v>
      </c>
      <c r="Y49" s="227"/>
      <c r="Z49" s="228"/>
      <c r="AA49" s="227"/>
      <c r="AB49" s="228">
        <v>0.0</v>
      </c>
      <c r="AC49" s="225"/>
      <c r="AD49" s="225"/>
      <c r="AE49" s="227"/>
      <c r="AF49" s="225" t="s">
        <v>445</v>
      </c>
      <c r="AG49" s="229"/>
    </row>
    <row r="50">
      <c r="A50" s="225" t="s">
        <v>225</v>
      </c>
      <c r="B50" s="225" t="s">
        <v>1016</v>
      </c>
      <c r="C50" s="225" t="s">
        <v>13</v>
      </c>
      <c r="D50" s="226">
        <v>31.8</v>
      </c>
      <c r="E50" s="225" t="s">
        <v>13</v>
      </c>
      <c r="F50" s="227">
        <v>75.0</v>
      </c>
      <c r="G50" s="227">
        <v>14.0</v>
      </c>
      <c r="H50" s="227">
        <v>21.0</v>
      </c>
      <c r="I50" s="227">
        <v>35.0</v>
      </c>
      <c r="J50" s="226">
        <v>0.4666666666666667</v>
      </c>
      <c r="K50" s="226">
        <v>39.2</v>
      </c>
      <c r="L50" s="227">
        <v>89.0</v>
      </c>
      <c r="M50" s="226">
        <v>1.1866666666666668</v>
      </c>
      <c r="N50" s="228">
        <v>0.15730337078651685</v>
      </c>
      <c r="O50" s="227">
        <v>19.0</v>
      </c>
      <c r="P50" s="226">
        <v>0.25333333333333335</v>
      </c>
      <c r="Q50" s="225" t="s">
        <v>830</v>
      </c>
      <c r="R50" s="228">
        <v>0.595</v>
      </c>
      <c r="S50" s="225" t="s">
        <v>1017</v>
      </c>
      <c r="T50" s="227">
        <v>6.0</v>
      </c>
      <c r="U50" s="227">
        <v>21.0</v>
      </c>
      <c r="V50" s="226">
        <v>0.28</v>
      </c>
      <c r="W50" s="227">
        <v>43.0</v>
      </c>
      <c r="X50" s="226">
        <v>0.5733333333333334</v>
      </c>
      <c r="Y50" s="227"/>
      <c r="Z50" s="228"/>
      <c r="AA50" s="227"/>
      <c r="AB50" s="228">
        <v>0.429</v>
      </c>
      <c r="AC50" s="225"/>
      <c r="AD50" s="225"/>
      <c r="AE50" s="227"/>
      <c r="AF50" s="225" t="s">
        <v>456</v>
      </c>
      <c r="AG50" s="229"/>
    </row>
    <row r="51">
      <c r="A51" s="225" t="s">
        <v>225</v>
      </c>
      <c r="B51" s="225" t="s">
        <v>1019</v>
      </c>
      <c r="C51" s="225" t="s">
        <v>59</v>
      </c>
      <c r="D51" s="226">
        <v>20.3</v>
      </c>
      <c r="E51" s="225" t="s">
        <v>13</v>
      </c>
      <c r="F51" s="227">
        <v>7.0</v>
      </c>
      <c r="G51" s="227">
        <v>1.0</v>
      </c>
      <c r="H51" s="227">
        <v>1.0</v>
      </c>
      <c r="I51" s="227">
        <v>2.0</v>
      </c>
      <c r="J51" s="226">
        <v>0.2857142857142857</v>
      </c>
      <c r="K51" s="226">
        <v>24.0</v>
      </c>
      <c r="L51" s="227">
        <v>6.0</v>
      </c>
      <c r="M51" s="226">
        <v>0.8571428571428571</v>
      </c>
      <c r="N51" s="228">
        <v>0.16666666666666666</v>
      </c>
      <c r="O51" s="227">
        <v>0.0</v>
      </c>
      <c r="P51" s="226">
        <v>0.0</v>
      </c>
      <c r="Q51" s="225" t="s">
        <v>877</v>
      </c>
      <c r="R51" s="228">
        <v>0.0</v>
      </c>
      <c r="S51" s="225" t="s">
        <v>1020</v>
      </c>
      <c r="T51" s="227">
        <v>9.0</v>
      </c>
      <c r="U51" s="227">
        <v>9.0</v>
      </c>
      <c r="V51" s="226">
        <v>1.2857142857142858</v>
      </c>
      <c r="W51" s="227">
        <v>1.0</v>
      </c>
      <c r="X51" s="226">
        <v>0.14285714285714285</v>
      </c>
      <c r="Y51" s="227"/>
      <c r="Z51" s="228"/>
      <c r="AA51" s="227"/>
      <c r="AB51" s="228">
        <v>0.0</v>
      </c>
      <c r="AC51" s="225"/>
      <c r="AD51" s="225"/>
      <c r="AE51" s="227"/>
      <c r="AF51" s="225" t="s">
        <v>1021</v>
      </c>
      <c r="AG51" s="229"/>
    </row>
    <row r="52">
      <c r="A52" s="225" t="s">
        <v>73</v>
      </c>
      <c r="B52" s="225" t="s">
        <v>1022</v>
      </c>
      <c r="C52" s="225" t="s">
        <v>13</v>
      </c>
      <c r="D52" s="226">
        <v>23.1</v>
      </c>
      <c r="E52" s="225" t="s">
        <v>13</v>
      </c>
      <c r="F52" s="227">
        <v>81.0</v>
      </c>
      <c r="G52" s="227">
        <v>8.0</v>
      </c>
      <c r="H52" s="227">
        <v>25.0</v>
      </c>
      <c r="I52" s="227">
        <v>33.0</v>
      </c>
      <c r="J52" s="226">
        <v>0.4074074074074074</v>
      </c>
      <c r="K52" s="226">
        <v>34.22222222222222</v>
      </c>
      <c r="L52" s="227">
        <v>136.0</v>
      </c>
      <c r="M52" s="226">
        <v>1.6790123456790123</v>
      </c>
      <c r="N52" s="228">
        <v>0.058823529411764705</v>
      </c>
      <c r="O52" s="227">
        <v>1.0</v>
      </c>
      <c r="P52" s="226">
        <v>0.012345679012345678</v>
      </c>
      <c r="Q52" s="225" t="s">
        <v>1024</v>
      </c>
      <c r="R52" s="228">
        <v>0.069</v>
      </c>
      <c r="S52" s="225" t="s">
        <v>1025</v>
      </c>
      <c r="T52" s="227">
        <v>37.0</v>
      </c>
      <c r="U52" s="227">
        <v>112.0</v>
      </c>
      <c r="V52" s="226">
        <v>1.382716049382716</v>
      </c>
      <c r="W52" s="227">
        <v>44.0</v>
      </c>
      <c r="X52" s="226">
        <v>0.5432098765432098</v>
      </c>
      <c r="Y52" s="227"/>
      <c r="Z52" s="228"/>
      <c r="AA52" s="227"/>
      <c r="AB52" s="228">
        <v>0.174</v>
      </c>
      <c r="AC52" s="225"/>
      <c r="AD52" s="225"/>
      <c r="AE52" s="227"/>
      <c r="AF52" s="225" t="s">
        <v>429</v>
      </c>
      <c r="AG52" s="229"/>
    </row>
    <row r="53">
      <c r="A53" s="225" t="s">
        <v>73</v>
      </c>
      <c r="B53" s="225" t="s">
        <v>540</v>
      </c>
      <c r="C53" s="225" t="s">
        <v>59</v>
      </c>
      <c r="D53" s="226">
        <v>21.7</v>
      </c>
      <c r="E53" s="225" t="s">
        <v>13</v>
      </c>
      <c r="F53" s="227">
        <v>82.0</v>
      </c>
      <c r="G53" s="227">
        <v>24.0</v>
      </c>
      <c r="H53" s="227">
        <v>35.0</v>
      </c>
      <c r="I53" s="227">
        <v>59.0</v>
      </c>
      <c r="J53" s="226">
        <v>0.7195121951219512</v>
      </c>
      <c r="K53" s="226">
        <v>60.4390243902439</v>
      </c>
      <c r="L53" s="227">
        <v>214.0</v>
      </c>
      <c r="M53" s="226">
        <v>2.6097560975609757</v>
      </c>
      <c r="N53" s="228">
        <v>0.11214953271028037</v>
      </c>
      <c r="O53" s="227">
        <v>13.0</v>
      </c>
      <c r="P53" s="226">
        <v>0.15853658536585366</v>
      </c>
      <c r="Q53" s="225" t="s">
        <v>1027</v>
      </c>
      <c r="R53" s="228">
        <v>0.635</v>
      </c>
      <c r="S53" s="225" t="s">
        <v>1028</v>
      </c>
      <c r="T53" s="227">
        <v>38.0</v>
      </c>
      <c r="U53" s="227">
        <v>139.0</v>
      </c>
      <c r="V53" s="226">
        <v>1.6951219512195121</v>
      </c>
      <c r="W53" s="227">
        <v>51.0</v>
      </c>
      <c r="X53" s="226">
        <v>0.6219512195121951</v>
      </c>
      <c r="Y53" s="227"/>
      <c r="Z53" s="228"/>
      <c r="AA53" s="227"/>
      <c r="AB53" s="228">
        <v>0.03</v>
      </c>
      <c r="AC53" s="225"/>
      <c r="AD53" s="225"/>
      <c r="AE53" s="227"/>
      <c r="AF53" s="225" t="s">
        <v>1030</v>
      </c>
      <c r="AG53" s="229"/>
    </row>
    <row r="54">
      <c r="A54" s="225" t="s">
        <v>73</v>
      </c>
      <c r="B54" s="225" t="s">
        <v>423</v>
      </c>
      <c r="C54" s="225" t="s">
        <v>13</v>
      </c>
      <c r="D54" s="226">
        <v>25.9</v>
      </c>
      <c r="E54" s="225" t="s">
        <v>815</v>
      </c>
      <c r="F54" s="227">
        <v>76.0</v>
      </c>
      <c r="G54" s="227">
        <v>27.0</v>
      </c>
      <c r="H54" s="227">
        <v>40.0</v>
      </c>
      <c r="I54" s="227">
        <v>67.0</v>
      </c>
      <c r="J54" s="226">
        <v>0.881578947368421</v>
      </c>
      <c r="K54" s="226">
        <v>74.05263157894737</v>
      </c>
      <c r="L54" s="227">
        <v>218.0</v>
      </c>
      <c r="M54" s="226">
        <v>2.8684210526315788</v>
      </c>
      <c r="N54" s="228">
        <v>0.12385321100917432</v>
      </c>
      <c r="O54" s="227">
        <v>23.0</v>
      </c>
      <c r="P54" s="226">
        <v>0.3026315789473684</v>
      </c>
      <c r="Q54" s="225" t="s">
        <v>1032</v>
      </c>
      <c r="R54" s="228">
        <v>0.732</v>
      </c>
      <c r="S54" s="225" t="s">
        <v>1033</v>
      </c>
      <c r="T54" s="227">
        <v>32.0</v>
      </c>
      <c r="U54" s="227">
        <v>61.0</v>
      </c>
      <c r="V54" s="226">
        <v>0.8026315789473685</v>
      </c>
      <c r="W54" s="227">
        <v>40.0</v>
      </c>
      <c r="X54" s="226">
        <v>0.5263157894736842</v>
      </c>
      <c r="Y54" s="227"/>
      <c r="Z54" s="228"/>
      <c r="AA54" s="227"/>
      <c r="AB54" s="228">
        <v>0.013000000000000001</v>
      </c>
      <c r="AC54" s="225"/>
      <c r="AD54" s="225"/>
      <c r="AE54" s="227"/>
      <c r="AF54" s="225" t="s">
        <v>1034</v>
      </c>
      <c r="AG54" s="229"/>
    </row>
    <row r="55">
      <c r="A55" s="225" t="s">
        <v>73</v>
      </c>
      <c r="B55" s="225" t="s">
        <v>847</v>
      </c>
      <c r="C55" s="225" t="s">
        <v>59</v>
      </c>
      <c r="D55" s="226">
        <v>31.7</v>
      </c>
      <c r="E55" s="225" t="s">
        <v>13</v>
      </c>
      <c r="F55" s="227">
        <v>78.0</v>
      </c>
      <c r="G55" s="227">
        <v>13.0</v>
      </c>
      <c r="H55" s="227">
        <v>23.0</v>
      </c>
      <c r="I55" s="227">
        <v>36.0</v>
      </c>
      <c r="J55" s="226">
        <v>0.46153846153846156</v>
      </c>
      <c r="K55" s="226">
        <v>38.769230769230774</v>
      </c>
      <c r="L55" s="227">
        <v>131.0</v>
      </c>
      <c r="M55" s="226">
        <v>1.6794871794871795</v>
      </c>
      <c r="N55" s="228">
        <v>0.09923664122137404</v>
      </c>
      <c r="O55" s="227">
        <v>10.0</v>
      </c>
      <c r="P55" s="226">
        <v>0.1282051282051282</v>
      </c>
      <c r="Q55" s="225" t="s">
        <v>981</v>
      </c>
      <c r="R55" s="228">
        <v>0.46799999999999997</v>
      </c>
      <c r="S55" s="225" t="s">
        <v>1036</v>
      </c>
      <c r="T55" s="227">
        <v>12.0</v>
      </c>
      <c r="U55" s="227">
        <v>46.0</v>
      </c>
      <c r="V55" s="226">
        <v>0.5897435897435898</v>
      </c>
      <c r="W55" s="227">
        <v>34.0</v>
      </c>
      <c r="X55" s="226">
        <v>0.4358974358974359</v>
      </c>
      <c r="Y55" s="227"/>
      <c r="Z55" s="228"/>
      <c r="AA55" s="227"/>
      <c r="AB55" s="228">
        <v>0.38</v>
      </c>
      <c r="AC55" s="225"/>
      <c r="AD55" s="225"/>
      <c r="AE55" s="227"/>
      <c r="AF55" s="225" t="s">
        <v>864</v>
      </c>
      <c r="AG55" s="229"/>
    </row>
    <row r="56">
      <c r="A56" s="225" t="s">
        <v>73</v>
      </c>
      <c r="B56" s="225" t="s">
        <v>668</v>
      </c>
      <c r="C56" s="225" t="s">
        <v>815</v>
      </c>
      <c r="D56" s="226">
        <v>31.3</v>
      </c>
      <c r="E56" s="225" t="s">
        <v>13</v>
      </c>
      <c r="F56" s="227">
        <v>72.0</v>
      </c>
      <c r="G56" s="227">
        <v>17.0</v>
      </c>
      <c r="H56" s="227">
        <v>32.0</v>
      </c>
      <c r="I56" s="227">
        <v>49.0</v>
      </c>
      <c r="J56" s="226">
        <v>0.6805555555555556</v>
      </c>
      <c r="K56" s="226">
        <v>57.16666666666667</v>
      </c>
      <c r="L56" s="227">
        <v>160.0</v>
      </c>
      <c r="M56" s="226">
        <v>2.2222222222222223</v>
      </c>
      <c r="N56" s="228">
        <v>0.10625</v>
      </c>
      <c r="O56" s="227">
        <v>4.0</v>
      </c>
      <c r="P56" s="226">
        <v>0.05555555555555555</v>
      </c>
      <c r="Q56" s="225" t="s">
        <v>1040</v>
      </c>
      <c r="R56" s="228">
        <v>0.35600000000000004</v>
      </c>
      <c r="S56" s="225" t="s">
        <v>1041</v>
      </c>
      <c r="T56" s="227">
        <v>26.0</v>
      </c>
      <c r="U56" s="227">
        <v>55.0</v>
      </c>
      <c r="V56" s="226">
        <v>0.7638888888888888</v>
      </c>
      <c r="W56" s="227">
        <v>27.0</v>
      </c>
      <c r="X56" s="226">
        <v>0.375</v>
      </c>
      <c r="Y56" s="227"/>
      <c r="Z56" s="228"/>
      <c r="AA56" s="227"/>
      <c r="AB56" s="228">
        <v>0.353</v>
      </c>
      <c r="AC56" s="225"/>
      <c r="AD56" s="225"/>
      <c r="AE56" s="227"/>
      <c r="AF56" s="225" t="s">
        <v>1043</v>
      </c>
      <c r="AG56" s="229"/>
    </row>
    <row r="57">
      <c r="A57" s="225" t="s">
        <v>73</v>
      </c>
      <c r="B57" s="225" t="s">
        <v>783</v>
      </c>
      <c r="C57" s="225" t="s">
        <v>59</v>
      </c>
      <c r="D57" s="226">
        <v>34.3</v>
      </c>
      <c r="E57" s="225" t="s">
        <v>815</v>
      </c>
      <c r="F57" s="227">
        <v>82.0</v>
      </c>
      <c r="G57" s="227">
        <v>20.0</v>
      </c>
      <c r="H57" s="227">
        <v>38.0</v>
      </c>
      <c r="I57" s="227">
        <v>58.0</v>
      </c>
      <c r="J57" s="226">
        <v>0.7073170731707317</v>
      </c>
      <c r="K57" s="226">
        <v>59.41463414634146</v>
      </c>
      <c r="L57" s="227">
        <v>144.0</v>
      </c>
      <c r="M57" s="226">
        <v>1.7560975609756098</v>
      </c>
      <c r="N57" s="228">
        <v>0.1388888888888889</v>
      </c>
      <c r="O57" s="227">
        <v>13.0</v>
      </c>
      <c r="P57" s="226">
        <v>0.15853658536585366</v>
      </c>
      <c r="Q57" s="225" t="s">
        <v>1045</v>
      </c>
      <c r="R57" s="228">
        <v>0.49200000000000005</v>
      </c>
      <c r="S57" s="225" t="s">
        <v>1046</v>
      </c>
      <c r="T57" s="227">
        <v>14.0</v>
      </c>
      <c r="U57" s="227">
        <v>111.0</v>
      </c>
      <c r="V57" s="226">
        <v>1.353658536585366</v>
      </c>
      <c r="W57" s="227">
        <v>53.0</v>
      </c>
      <c r="X57" s="226">
        <v>0.6463414634146342</v>
      </c>
      <c r="Y57" s="227"/>
      <c r="Z57" s="228"/>
      <c r="AA57" s="227"/>
      <c r="AB57" s="228">
        <v>0.462</v>
      </c>
      <c r="AC57" s="225"/>
      <c r="AD57" s="225"/>
      <c r="AE57" s="227"/>
      <c r="AF57" s="225" t="s">
        <v>213</v>
      </c>
      <c r="AG57" s="229"/>
    </row>
    <row r="58">
      <c r="A58" s="225" t="s">
        <v>73</v>
      </c>
      <c r="B58" s="225" t="s">
        <v>898</v>
      </c>
      <c r="C58" s="225" t="s">
        <v>815</v>
      </c>
      <c r="D58" s="226">
        <v>30.3</v>
      </c>
      <c r="E58" s="225" t="s">
        <v>815</v>
      </c>
      <c r="F58" s="227">
        <v>71.0</v>
      </c>
      <c r="G58" s="227">
        <v>12.0</v>
      </c>
      <c r="H58" s="227">
        <v>21.0</v>
      </c>
      <c r="I58" s="227">
        <v>33.0</v>
      </c>
      <c r="J58" s="226">
        <v>0.4647887323943662</v>
      </c>
      <c r="K58" s="226">
        <v>39.04225352112676</v>
      </c>
      <c r="L58" s="227">
        <v>137.0</v>
      </c>
      <c r="M58" s="226">
        <v>1.9295774647887325</v>
      </c>
      <c r="N58" s="228">
        <v>0.08759124087591241</v>
      </c>
      <c r="O58" s="227">
        <v>10.0</v>
      </c>
      <c r="P58" s="226">
        <v>0.14084507042253522</v>
      </c>
      <c r="Q58" s="225" t="s">
        <v>1048</v>
      </c>
      <c r="R58" s="228">
        <v>0.44799999999999995</v>
      </c>
      <c r="S58" s="225" t="s">
        <v>1049</v>
      </c>
      <c r="T58" s="227">
        <v>34.0</v>
      </c>
      <c r="U58" s="227">
        <v>45.0</v>
      </c>
      <c r="V58" s="226">
        <v>0.6338028169014085</v>
      </c>
      <c r="W58" s="227">
        <v>32.0</v>
      </c>
      <c r="X58" s="226">
        <v>0.4507042253521127</v>
      </c>
      <c r="Y58" s="227"/>
      <c r="Z58" s="228"/>
      <c r="AA58" s="227"/>
      <c r="AB58" s="228">
        <v>0.3</v>
      </c>
      <c r="AC58" s="225"/>
      <c r="AD58" s="225"/>
      <c r="AE58" s="227"/>
      <c r="AF58" s="225" t="s">
        <v>1051</v>
      </c>
      <c r="AG58" s="229"/>
    </row>
    <row r="59">
      <c r="A59" s="225" t="s">
        <v>73</v>
      </c>
      <c r="B59" s="225" t="s">
        <v>1053</v>
      </c>
      <c r="C59" s="225" t="s">
        <v>13</v>
      </c>
      <c r="D59" s="226">
        <v>25.8</v>
      </c>
      <c r="E59" s="225" t="s">
        <v>13</v>
      </c>
      <c r="F59" s="227">
        <v>63.0</v>
      </c>
      <c r="G59" s="227">
        <v>17.0</v>
      </c>
      <c r="H59" s="227">
        <v>15.0</v>
      </c>
      <c r="I59" s="227">
        <v>32.0</v>
      </c>
      <c r="J59" s="226">
        <v>0.5079365079365079</v>
      </c>
      <c r="K59" s="226">
        <v>42.666666666666664</v>
      </c>
      <c r="L59" s="227">
        <v>110.0</v>
      </c>
      <c r="M59" s="226">
        <v>1.746031746031746</v>
      </c>
      <c r="N59" s="228">
        <v>0.15454545454545454</v>
      </c>
      <c r="O59" s="227">
        <v>9.0</v>
      </c>
      <c r="P59" s="226">
        <v>0.14285714285714285</v>
      </c>
      <c r="Q59" s="225" t="s">
        <v>1045</v>
      </c>
      <c r="R59" s="228">
        <v>0.511</v>
      </c>
      <c r="S59" s="225" t="s">
        <v>1054</v>
      </c>
      <c r="T59" s="227">
        <v>59.0</v>
      </c>
      <c r="U59" s="227">
        <v>105.0</v>
      </c>
      <c r="V59" s="226">
        <v>1.6666666666666667</v>
      </c>
      <c r="W59" s="227">
        <v>27.0</v>
      </c>
      <c r="X59" s="226">
        <v>0.42857142857142855</v>
      </c>
      <c r="Y59" s="227"/>
      <c r="Z59" s="228"/>
      <c r="AA59" s="227"/>
      <c r="AB59" s="228">
        <v>0.002</v>
      </c>
      <c r="AC59" s="225"/>
      <c r="AD59" s="225"/>
      <c r="AE59" s="227"/>
      <c r="AF59" s="225" t="s">
        <v>1057</v>
      </c>
      <c r="AG59" s="229"/>
    </row>
    <row r="60">
      <c r="A60" s="225" t="s">
        <v>73</v>
      </c>
      <c r="B60" s="225" t="s">
        <v>960</v>
      </c>
      <c r="C60" s="225" t="s">
        <v>815</v>
      </c>
      <c r="D60" s="226">
        <v>23.7</v>
      </c>
      <c r="E60" s="225" t="s">
        <v>13</v>
      </c>
      <c r="F60" s="227">
        <v>76.0</v>
      </c>
      <c r="G60" s="227">
        <v>7.0</v>
      </c>
      <c r="H60" s="227">
        <v>15.0</v>
      </c>
      <c r="I60" s="227">
        <v>22.0</v>
      </c>
      <c r="J60" s="226">
        <v>0.2894736842105263</v>
      </c>
      <c r="K60" s="226">
        <v>24.315789473684212</v>
      </c>
      <c r="L60" s="227">
        <v>114.0</v>
      </c>
      <c r="M60" s="226">
        <v>1.5</v>
      </c>
      <c r="N60" s="228">
        <v>0.06140350877192982</v>
      </c>
      <c r="O60" s="227">
        <v>2.0</v>
      </c>
      <c r="P60" s="226">
        <v>0.02631578947368421</v>
      </c>
      <c r="Q60" s="225" t="s">
        <v>946</v>
      </c>
      <c r="R60" s="228">
        <v>0.386</v>
      </c>
      <c r="S60" s="225" t="s">
        <v>1059</v>
      </c>
      <c r="T60" s="227">
        <v>20.0</v>
      </c>
      <c r="U60" s="227">
        <v>15.0</v>
      </c>
      <c r="V60" s="226">
        <v>0.19736842105263158</v>
      </c>
      <c r="W60" s="227">
        <v>38.0</v>
      </c>
      <c r="X60" s="226">
        <v>0.5</v>
      </c>
      <c r="Y60" s="227"/>
      <c r="Z60" s="228"/>
      <c r="AA60" s="227"/>
      <c r="AB60" s="228">
        <v>0.006</v>
      </c>
      <c r="AC60" s="225"/>
      <c r="AD60" s="225"/>
      <c r="AE60" s="227"/>
      <c r="AF60" s="225" t="s">
        <v>366</v>
      </c>
      <c r="AG60" s="229"/>
    </row>
    <row r="61">
      <c r="A61" s="225" t="s">
        <v>64</v>
      </c>
      <c r="B61" s="225" t="s">
        <v>711</v>
      </c>
      <c r="C61" s="225" t="s">
        <v>13</v>
      </c>
      <c r="D61" s="226">
        <v>33.6</v>
      </c>
      <c r="E61" s="225" t="s">
        <v>13</v>
      </c>
      <c r="F61" s="227">
        <v>60.0</v>
      </c>
      <c r="G61" s="227">
        <v>14.0</v>
      </c>
      <c r="H61" s="227">
        <v>21.0</v>
      </c>
      <c r="I61" s="227">
        <v>35.0</v>
      </c>
      <c r="J61" s="226">
        <v>0.5833333333333334</v>
      </c>
      <c r="K61" s="226">
        <v>49.0</v>
      </c>
      <c r="L61" s="227">
        <v>132.0</v>
      </c>
      <c r="M61" s="226">
        <v>2.2</v>
      </c>
      <c r="N61" s="228">
        <v>0.10606060606060606</v>
      </c>
      <c r="O61" s="227">
        <v>5.0</v>
      </c>
      <c r="P61" s="226">
        <v>0.08333333333333333</v>
      </c>
      <c r="Q61" s="225" t="s">
        <v>1062</v>
      </c>
      <c r="R61" s="228">
        <v>0.45299999999999996</v>
      </c>
      <c r="S61" s="225" t="s">
        <v>1063</v>
      </c>
      <c r="T61" s="227">
        <v>47.0</v>
      </c>
      <c r="U61" s="227">
        <v>86.0</v>
      </c>
      <c r="V61" s="226">
        <v>1.4333333333333333</v>
      </c>
      <c r="W61" s="227">
        <v>32.0</v>
      </c>
      <c r="X61" s="226">
        <v>0.5333333333333333</v>
      </c>
      <c r="Y61" s="227"/>
      <c r="Z61" s="228"/>
      <c r="AA61" s="227"/>
      <c r="AB61" s="228">
        <v>0.006</v>
      </c>
      <c r="AC61" s="225"/>
      <c r="AD61" s="225"/>
      <c r="AE61" s="227"/>
      <c r="AF61" s="225" t="s">
        <v>819</v>
      </c>
      <c r="AG61" s="229"/>
    </row>
    <row r="62">
      <c r="A62" s="225" t="s">
        <v>64</v>
      </c>
      <c r="B62" s="225" t="s">
        <v>78</v>
      </c>
      <c r="C62" s="225" t="s">
        <v>59</v>
      </c>
      <c r="D62" s="226">
        <v>30.8</v>
      </c>
      <c r="E62" s="225" t="s">
        <v>815</v>
      </c>
      <c r="F62" s="227">
        <v>80.0</v>
      </c>
      <c r="G62" s="227">
        <v>53.0</v>
      </c>
      <c r="H62" s="227">
        <v>74.0</v>
      </c>
      <c r="I62" s="227">
        <v>127.0</v>
      </c>
      <c r="J62" s="226">
        <v>1.5875</v>
      </c>
      <c r="K62" s="226">
        <v>133.35</v>
      </c>
      <c r="L62" s="227">
        <v>350.0</v>
      </c>
      <c r="M62" s="226">
        <v>4.375</v>
      </c>
      <c r="N62" s="228">
        <v>0.15142857142857144</v>
      </c>
      <c r="O62" s="227">
        <v>30.0</v>
      </c>
      <c r="P62" s="226">
        <v>0.375</v>
      </c>
      <c r="Q62" s="225" t="s">
        <v>1067</v>
      </c>
      <c r="R62" s="228">
        <v>0.789</v>
      </c>
      <c r="S62" s="225" t="s">
        <v>1068</v>
      </c>
      <c r="T62" s="227">
        <v>39.0</v>
      </c>
      <c r="U62" s="227">
        <v>64.0</v>
      </c>
      <c r="V62" s="226">
        <v>0.8</v>
      </c>
      <c r="W62" s="227">
        <v>35.0</v>
      </c>
      <c r="X62" s="226">
        <v>0.4375</v>
      </c>
      <c r="Y62" s="227"/>
      <c r="Z62" s="228"/>
      <c r="AA62" s="227"/>
      <c r="AB62" s="228">
        <v>0.01</v>
      </c>
      <c r="AC62" s="225"/>
      <c r="AD62" s="225"/>
      <c r="AE62" s="227"/>
      <c r="AF62" s="225" t="s">
        <v>1070</v>
      </c>
      <c r="AG62" s="229"/>
    </row>
    <row r="63">
      <c r="A63" s="225" t="s">
        <v>64</v>
      </c>
      <c r="B63" s="225" t="s">
        <v>239</v>
      </c>
      <c r="C63" s="225" t="s">
        <v>815</v>
      </c>
      <c r="D63" s="226">
        <v>27.4</v>
      </c>
      <c r="E63" s="225" t="s">
        <v>815</v>
      </c>
      <c r="F63" s="227">
        <v>78.0</v>
      </c>
      <c r="G63" s="227">
        <v>38.0</v>
      </c>
      <c r="H63" s="227">
        <v>62.0</v>
      </c>
      <c r="I63" s="227">
        <v>100.0</v>
      </c>
      <c r="J63" s="226">
        <v>1.2820512820512822</v>
      </c>
      <c r="K63" s="226">
        <v>107.69230769230771</v>
      </c>
      <c r="L63" s="227">
        <v>206.0</v>
      </c>
      <c r="M63" s="226">
        <v>2.641025641025641</v>
      </c>
      <c r="N63" s="228">
        <v>0.18446601941747573</v>
      </c>
      <c r="O63" s="227">
        <v>24.0</v>
      </c>
      <c r="P63" s="226">
        <v>0.3076923076923077</v>
      </c>
      <c r="Q63" s="225" t="s">
        <v>1072</v>
      </c>
      <c r="R63" s="228">
        <v>0.7490000000000001</v>
      </c>
      <c r="S63" s="225" t="s">
        <v>1073</v>
      </c>
      <c r="T63" s="227">
        <v>30.0</v>
      </c>
      <c r="U63" s="227">
        <v>85.0</v>
      </c>
      <c r="V63" s="226">
        <v>1.0897435897435896</v>
      </c>
      <c r="W63" s="227">
        <v>26.0</v>
      </c>
      <c r="X63" s="226">
        <v>0.3333333333333333</v>
      </c>
      <c r="Y63" s="227"/>
      <c r="Z63" s="228"/>
      <c r="AA63" s="227"/>
      <c r="AB63" s="228">
        <v>0.004</v>
      </c>
      <c r="AC63" s="225"/>
      <c r="AD63" s="225"/>
      <c r="AE63" s="227"/>
      <c r="AF63" s="225" t="s">
        <v>288</v>
      </c>
      <c r="AG63" s="229"/>
    </row>
    <row r="64">
      <c r="A64" s="225" t="s">
        <v>64</v>
      </c>
      <c r="B64" s="225" t="s">
        <v>731</v>
      </c>
      <c r="C64" s="225" t="s">
        <v>13</v>
      </c>
      <c r="D64" s="226">
        <v>31.0</v>
      </c>
      <c r="E64" s="225" t="s">
        <v>13</v>
      </c>
      <c r="F64" s="227">
        <v>70.0</v>
      </c>
      <c r="G64" s="227">
        <v>21.0</v>
      </c>
      <c r="H64" s="227">
        <v>27.0</v>
      </c>
      <c r="I64" s="227">
        <v>48.0</v>
      </c>
      <c r="J64" s="226">
        <v>0.6857142857142857</v>
      </c>
      <c r="K64" s="226">
        <v>57.6</v>
      </c>
      <c r="L64" s="227">
        <v>153.0</v>
      </c>
      <c r="M64" s="226">
        <v>2.1857142857142855</v>
      </c>
      <c r="N64" s="228">
        <v>0.13725490196078433</v>
      </c>
      <c r="O64" s="227">
        <v>2.0</v>
      </c>
      <c r="P64" s="226">
        <v>0.02857142857142857</v>
      </c>
      <c r="Q64" s="225" t="s">
        <v>1076</v>
      </c>
      <c r="R64" s="228">
        <v>0.431</v>
      </c>
      <c r="S64" s="225" t="s">
        <v>1077</v>
      </c>
      <c r="T64" s="227">
        <v>16.0</v>
      </c>
      <c r="U64" s="227">
        <v>45.0</v>
      </c>
      <c r="V64" s="226">
        <v>0.6428571428571429</v>
      </c>
      <c r="W64" s="227">
        <v>33.0</v>
      </c>
      <c r="X64" s="226">
        <v>0.4714285714285714</v>
      </c>
      <c r="Y64" s="227"/>
      <c r="Z64" s="228"/>
      <c r="AA64" s="227"/>
      <c r="AB64" s="228">
        <v>0.244</v>
      </c>
      <c r="AC64" s="225"/>
      <c r="AD64" s="225"/>
      <c r="AE64" s="227"/>
      <c r="AF64" s="225" t="s">
        <v>308</v>
      </c>
      <c r="AG64" s="229"/>
    </row>
    <row r="65">
      <c r="A65" s="225" t="s">
        <v>64</v>
      </c>
      <c r="B65" s="225" t="s">
        <v>689</v>
      </c>
      <c r="C65" s="225" t="s">
        <v>59</v>
      </c>
      <c r="D65" s="226">
        <v>34.7</v>
      </c>
      <c r="E65" s="225" t="s">
        <v>13</v>
      </c>
      <c r="F65" s="227">
        <v>81.0</v>
      </c>
      <c r="G65" s="227">
        <v>33.0</v>
      </c>
      <c r="H65" s="227">
        <v>32.0</v>
      </c>
      <c r="I65" s="227">
        <v>65.0</v>
      </c>
      <c r="J65" s="226">
        <v>0.8024691358024691</v>
      </c>
      <c r="K65" s="226">
        <v>67.4074074074074</v>
      </c>
      <c r="L65" s="227">
        <v>186.0</v>
      </c>
      <c r="M65" s="226">
        <v>2.2962962962962963</v>
      </c>
      <c r="N65" s="228">
        <v>0.1774193548387097</v>
      </c>
      <c r="O65" s="227">
        <v>18.0</v>
      </c>
      <c r="P65" s="226">
        <v>0.2222222222222222</v>
      </c>
      <c r="Q65" s="225" t="s">
        <v>909</v>
      </c>
      <c r="R65" s="228">
        <v>0.603</v>
      </c>
      <c r="S65" s="225" t="s">
        <v>1080</v>
      </c>
      <c r="T65" s="227">
        <v>36.0</v>
      </c>
      <c r="U65" s="227">
        <v>38.0</v>
      </c>
      <c r="V65" s="226">
        <v>0.4691358024691358</v>
      </c>
      <c r="W65" s="227">
        <v>65.0</v>
      </c>
      <c r="X65" s="226">
        <v>0.8024691358024691</v>
      </c>
      <c r="Y65" s="227"/>
      <c r="Z65" s="228"/>
      <c r="AA65" s="227"/>
      <c r="AB65" s="228">
        <v>0.381</v>
      </c>
      <c r="AC65" s="225"/>
      <c r="AD65" s="225"/>
      <c r="AE65" s="227"/>
      <c r="AF65" s="225" t="s">
        <v>921</v>
      </c>
      <c r="AG65" s="229"/>
    </row>
    <row r="66">
      <c r="A66" s="225" t="s">
        <v>64</v>
      </c>
      <c r="B66" s="225" t="s">
        <v>695</v>
      </c>
      <c r="C66" s="225" t="s">
        <v>59</v>
      </c>
      <c r="D66" s="226">
        <v>35.7</v>
      </c>
      <c r="E66" s="225" t="s">
        <v>13</v>
      </c>
      <c r="F66" s="227">
        <v>77.0</v>
      </c>
      <c r="G66" s="227">
        <v>16.0</v>
      </c>
      <c r="H66" s="227">
        <v>34.0</v>
      </c>
      <c r="I66" s="227">
        <v>50.0</v>
      </c>
      <c r="J66" s="226">
        <v>0.6493506493506493</v>
      </c>
      <c r="K66" s="226">
        <v>54.54545454545455</v>
      </c>
      <c r="L66" s="227">
        <v>213.0</v>
      </c>
      <c r="M66" s="226">
        <v>2.7662337662337664</v>
      </c>
      <c r="N66" s="228">
        <v>0.07511737089201878</v>
      </c>
      <c r="O66" s="227">
        <v>19.0</v>
      </c>
      <c r="P66" s="226">
        <v>0.24675324675324675</v>
      </c>
      <c r="Q66" s="225" t="s">
        <v>806</v>
      </c>
      <c r="R66" s="228">
        <v>0.665</v>
      </c>
      <c r="S66" s="225" t="s">
        <v>1082</v>
      </c>
      <c r="T66" s="227">
        <v>30.0</v>
      </c>
      <c r="U66" s="227">
        <v>50.0</v>
      </c>
      <c r="V66" s="226">
        <v>0.6493506493506493</v>
      </c>
      <c r="W66" s="227">
        <v>30.0</v>
      </c>
      <c r="X66" s="226">
        <v>0.38961038961038963</v>
      </c>
      <c r="Y66" s="227"/>
      <c r="Z66" s="228"/>
      <c r="AA66" s="227"/>
      <c r="AB66" s="228">
        <v>0.011000000000000001</v>
      </c>
      <c r="AC66" s="225"/>
      <c r="AD66" s="225"/>
      <c r="AE66" s="227"/>
      <c r="AF66" s="225" t="s">
        <v>819</v>
      </c>
      <c r="AG66" s="229"/>
    </row>
    <row r="67">
      <c r="A67" s="225" t="s">
        <v>43</v>
      </c>
      <c r="B67" s="225" t="s">
        <v>216</v>
      </c>
      <c r="C67" s="225" t="s">
        <v>13</v>
      </c>
      <c r="D67" s="226">
        <v>26.9</v>
      </c>
      <c r="E67" s="225" t="s">
        <v>13</v>
      </c>
      <c r="F67" s="227">
        <v>82.0</v>
      </c>
      <c r="G67" s="227">
        <v>45.0</v>
      </c>
      <c r="H67" s="227">
        <v>51.0</v>
      </c>
      <c r="I67" s="227">
        <v>96.0</v>
      </c>
      <c r="J67" s="226">
        <v>1.170731707317073</v>
      </c>
      <c r="K67" s="226">
        <v>98.34146341463413</v>
      </c>
      <c r="L67" s="227">
        <v>294.0</v>
      </c>
      <c r="M67" s="226">
        <v>3.5853658536585367</v>
      </c>
      <c r="N67" s="228">
        <v>0.15306122448979592</v>
      </c>
      <c r="O67" s="227">
        <v>41.0</v>
      </c>
      <c r="P67" s="226">
        <v>0.5</v>
      </c>
      <c r="Q67" s="225" t="s">
        <v>1085</v>
      </c>
      <c r="R67" s="228">
        <v>0.807</v>
      </c>
      <c r="S67" s="225" t="s">
        <v>1086</v>
      </c>
      <c r="T67" s="227">
        <v>32.0</v>
      </c>
      <c r="U67" s="227">
        <v>48.0</v>
      </c>
      <c r="V67" s="226">
        <v>0.5853658536585366</v>
      </c>
      <c r="W67" s="227">
        <v>34.0</v>
      </c>
      <c r="X67" s="226">
        <v>0.4146341463414634</v>
      </c>
      <c r="Y67" s="227"/>
      <c r="Z67" s="228"/>
      <c r="AA67" s="227"/>
      <c r="AB67" s="228">
        <v>0.005</v>
      </c>
      <c r="AC67" s="225"/>
      <c r="AD67" s="225"/>
      <c r="AE67" s="227"/>
      <c r="AF67" s="225" t="s">
        <v>874</v>
      </c>
      <c r="AG67" s="229"/>
    </row>
    <row r="68">
      <c r="A68" s="225" t="s">
        <v>43</v>
      </c>
      <c r="B68" s="225" t="s">
        <v>1088</v>
      </c>
      <c r="C68" s="225" t="s">
        <v>59</v>
      </c>
      <c r="D68" s="226">
        <v>23.1</v>
      </c>
      <c r="E68" s="225" t="s">
        <v>815</v>
      </c>
      <c r="F68" s="227">
        <v>82.0</v>
      </c>
      <c r="G68" s="227">
        <v>45.0</v>
      </c>
      <c r="H68" s="227">
        <v>41.0</v>
      </c>
      <c r="I68" s="227">
        <v>86.0</v>
      </c>
      <c r="J68" s="226">
        <v>1.048780487804878</v>
      </c>
      <c r="K68" s="226">
        <v>88.09756097560975</v>
      </c>
      <c r="L68" s="227">
        <v>206.0</v>
      </c>
      <c r="M68" s="226">
        <v>2.5121951219512195</v>
      </c>
      <c r="N68" s="228">
        <v>0.21844660194174756</v>
      </c>
      <c r="O68" s="227">
        <v>42.0</v>
      </c>
      <c r="P68" s="226">
        <v>0.5121951219512195</v>
      </c>
      <c r="Q68" s="225" t="s">
        <v>1090</v>
      </c>
      <c r="R68" s="228">
        <v>0.733</v>
      </c>
      <c r="S68" s="225" t="s">
        <v>1091</v>
      </c>
      <c r="T68" s="227">
        <v>32.0</v>
      </c>
      <c r="U68" s="227">
        <v>56.0</v>
      </c>
      <c r="V68" s="226">
        <v>0.6829268292682927</v>
      </c>
      <c r="W68" s="227">
        <v>55.0</v>
      </c>
      <c r="X68" s="226">
        <v>0.6707317073170732</v>
      </c>
      <c r="Y68" s="227"/>
      <c r="Z68" s="228"/>
      <c r="AA68" s="227"/>
      <c r="AB68" s="228">
        <v>0.09699999999999999</v>
      </c>
      <c r="AC68" s="225"/>
      <c r="AD68" s="225"/>
      <c r="AE68" s="227"/>
      <c r="AF68" s="225" t="s">
        <v>1093</v>
      </c>
      <c r="AG68" s="229"/>
    </row>
    <row r="69">
      <c r="A69" s="225" t="s">
        <v>43</v>
      </c>
      <c r="B69" s="225" t="s">
        <v>634</v>
      </c>
      <c r="C69" s="225" t="s">
        <v>59</v>
      </c>
      <c r="D69" s="226">
        <v>35.4</v>
      </c>
      <c r="E69" s="225" t="s">
        <v>13</v>
      </c>
      <c r="F69" s="227">
        <v>57.0</v>
      </c>
      <c r="G69" s="227">
        <v>16.0</v>
      </c>
      <c r="H69" s="227">
        <v>29.0</v>
      </c>
      <c r="I69" s="227">
        <v>45.0</v>
      </c>
      <c r="J69" s="226">
        <v>0.7894736842105263</v>
      </c>
      <c r="K69" s="226">
        <v>66.3157894736842</v>
      </c>
      <c r="L69" s="227">
        <v>89.0</v>
      </c>
      <c r="M69" s="226">
        <v>1.5614035087719298</v>
      </c>
      <c r="N69" s="228">
        <v>0.1797752808988764</v>
      </c>
      <c r="O69" s="227">
        <v>14.0</v>
      </c>
      <c r="P69" s="226">
        <v>0.24561403508771928</v>
      </c>
      <c r="Q69" s="225" t="s">
        <v>1095</v>
      </c>
      <c r="R69" s="228">
        <v>0.489</v>
      </c>
      <c r="S69" s="225" t="s">
        <v>1096</v>
      </c>
      <c r="T69" s="227">
        <v>8.0</v>
      </c>
      <c r="U69" s="227">
        <v>29.0</v>
      </c>
      <c r="V69" s="226">
        <v>0.5087719298245614</v>
      </c>
      <c r="W69" s="227">
        <v>23.0</v>
      </c>
      <c r="X69" s="226">
        <v>0.40350877192982454</v>
      </c>
      <c r="Y69" s="227"/>
      <c r="Z69" s="228"/>
      <c r="AA69" s="227"/>
      <c r="AB69" s="228">
        <v>0.003</v>
      </c>
      <c r="AC69" s="225"/>
      <c r="AD69" s="225"/>
      <c r="AE69" s="227"/>
      <c r="AF69" s="225" t="s">
        <v>308</v>
      </c>
      <c r="AG69" s="229"/>
    </row>
    <row r="70">
      <c r="A70" s="225" t="s">
        <v>43</v>
      </c>
      <c r="B70" s="225" t="s">
        <v>1098</v>
      </c>
      <c r="C70" s="225" t="s">
        <v>13</v>
      </c>
      <c r="D70" s="226">
        <v>25.3</v>
      </c>
      <c r="E70" s="225" t="s">
        <v>13</v>
      </c>
      <c r="F70" s="227">
        <v>81.0</v>
      </c>
      <c r="G70" s="227">
        <v>14.0</v>
      </c>
      <c r="H70" s="227">
        <v>16.0</v>
      </c>
      <c r="I70" s="227">
        <v>30.0</v>
      </c>
      <c r="J70" s="226">
        <v>0.37037037037037035</v>
      </c>
      <c r="K70" s="226">
        <v>31.11111111111111</v>
      </c>
      <c r="L70" s="227">
        <v>83.0</v>
      </c>
      <c r="M70" s="226">
        <v>1.0246913580246915</v>
      </c>
      <c r="N70" s="228">
        <v>0.1686746987951807</v>
      </c>
      <c r="O70" s="227">
        <v>5.0</v>
      </c>
      <c r="P70" s="226">
        <v>0.06172839506172839</v>
      </c>
      <c r="Q70" s="225" t="s">
        <v>837</v>
      </c>
      <c r="R70" s="228">
        <v>0.131</v>
      </c>
      <c r="S70" s="225" t="s">
        <v>986</v>
      </c>
      <c r="T70" s="227">
        <v>43.0</v>
      </c>
      <c r="U70" s="227">
        <v>119.0</v>
      </c>
      <c r="V70" s="226">
        <v>1.4691358024691359</v>
      </c>
      <c r="W70" s="227">
        <v>44.0</v>
      </c>
      <c r="X70" s="226">
        <v>0.5432098765432098</v>
      </c>
      <c r="Y70" s="227"/>
      <c r="Z70" s="228"/>
      <c r="AA70" s="227"/>
      <c r="AB70" s="228">
        <v>0.251</v>
      </c>
      <c r="AC70" s="225"/>
      <c r="AD70" s="225"/>
      <c r="AE70" s="227"/>
      <c r="AF70" s="225" t="s">
        <v>1101</v>
      </c>
      <c r="AG70" s="229"/>
    </row>
    <row r="71">
      <c r="A71" s="225" t="s">
        <v>43</v>
      </c>
      <c r="B71" s="225" t="s">
        <v>193</v>
      </c>
      <c r="C71" s="225" t="s">
        <v>815</v>
      </c>
      <c r="D71" s="226">
        <v>29.6</v>
      </c>
      <c r="E71" s="225" t="s">
        <v>13</v>
      </c>
      <c r="F71" s="227">
        <v>64.0</v>
      </c>
      <c r="G71" s="227">
        <v>22.0</v>
      </c>
      <c r="H71" s="227">
        <v>55.0</v>
      </c>
      <c r="I71" s="227">
        <v>77.0</v>
      </c>
      <c r="J71" s="226">
        <v>1.203125</v>
      </c>
      <c r="K71" s="226">
        <v>101.0625</v>
      </c>
      <c r="L71" s="227">
        <v>139.0</v>
      </c>
      <c r="M71" s="226">
        <v>2.171875</v>
      </c>
      <c r="N71" s="228">
        <v>0.15827338129496402</v>
      </c>
      <c r="O71" s="227">
        <v>34.0</v>
      </c>
      <c r="P71" s="226">
        <v>0.53125</v>
      </c>
      <c r="Q71" s="225" t="s">
        <v>1103</v>
      </c>
      <c r="R71" s="228">
        <v>0.847</v>
      </c>
      <c r="S71" s="225" t="s">
        <v>1104</v>
      </c>
      <c r="T71" s="227">
        <v>93.0</v>
      </c>
      <c r="U71" s="227">
        <v>48.0</v>
      </c>
      <c r="V71" s="226">
        <v>0.75</v>
      </c>
      <c r="W71" s="227">
        <v>30.0</v>
      </c>
      <c r="X71" s="226">
        <v>0.46875</v>
      </c>
      <c r="Y71" s="227"/>
      <c r="Z71" s="228"/>
      <c r="AA71" s="227"/>
      <c r="AB71" s="228">
        <v>0.002</v>
      </c>
      <c r="AC71" s="225"/>
      <c r="AD71" s="225"/>
      <c r="AE71" s="227"/>
      <c r="AF71" s="225" t="s">
        <v>1107</v>
      </c>
      <c r="AG71" s="229"/>
    </row>
    <row r="72">
      <c r="A72" s="225" t="s">
        <v>43</v>
      </c>
      <c r="B72" s="225" t="s">
        <v>506</v>
      </c>
      <c r="C72" s="225" t="s">
        <v>59</v>
      </c>
      <c r="D72" s="226">
        <v>29.6</v>
      </c>
      <c r="E72" s="225" t="s">
        <v>13</v>
      </c>
      <c r="F72" s="227">
        <v>53.0</v>
      </c>
      <c r="G72" s="227">
        <v>15.0</v>
      </c>
      <c r="H72" s="227">
        <v>29.0</v>
      </c>
      <c r="I72" s="227">
        <v>44.0</v>
      </c>
      <c r="J72" s="226">
        <v>0.8301886792452831</v>
      </c>
      <c r="K72" s="226">
        <v>69.73584905660378</v>
      </c>
      <c r="L72" s="227">
        <v>126.0</v>
      </c>
      <c r="M72" s="226">
        <v>2.3773584905660377</v>
      </c>
      <c r="N72" s="228">
        <v>0.11904761904761904</v>
      </c>
      <c r="O72" s="227">
        <v>19.0</v>
      </c>
      <c r="P72" s="226">
        <v>0.3584905660377358</v>
      </c>
      <c r="Q72" s="225" t="s">
        <v>1108</v>
      </c>
      <c r="R72" s="228">
        <v>0.682</v>
      </c>
      <c r="S72" s="225" t="s">
        <v>1109</v>
      </c>
      <c r="T72" s="227">
        <v>18.0</v>
      </c>
      <c r="U72" s="227">
        <v>60.0</v>
      </c>
      <c r="V72" s="226">
        <v>1.1320754716981132</v>
      </c>
      <c r="W72" s="227">
        <v>18.0</v>
      </c>
      <c r="X72" s="226">
        <v>0.33962264150943394</v>
      </c>
      <c r="Y72" s="227"/>
      <c r="Z72" s="228"/>
      <c r="AA72" s="227"/>
      <c r="AB72" s="228">
        <v>0.106</v>
      </c>
      <c r="AC72" s="225"/>
      <c r="AD72" s="225"/>
      <c r="AE72" s="227"/>
      <c r="AF72" s="225" t="s">
        <v>1112</v>
      </c>
      <c r="AG72" s="229"/>
    </row>
    <row r="73">
      <c r="A73" s="225" t="s">
        <v>114</v>
      </c>
      <c r="B73" s="225" t="s">
        <v>473</v>
      </c>
      <c r="C73" s="225" t="s">
        <v>59</v>
      </c>
      <c r="D73" s="226">
        <v>29.9</v>
      </c>
      <c r="E73" s="225" t="s">
        <v>13</v>
      </c>
      <c r="F73" s="227">
        <v>74.0</v>
      </c>
      <c r="G73" s="227">
        <v>34.0</v>
      </c>
      <c r="H73" s="227">
        <v>33.0</v>
      </c>
      <c r="I73" s="227">
        <v>67.0</v>
      </c>
      <c r="J73" s="226">
        <v>0.9054054054054054</v>
      </c>
      <c r="K73" s="226">
        <v>76.05405405405405</v>
      </c>
      <c r="L73" s="227">
        <v>229.0</v>
      </c>
      <c r="M73" s="226">
        <v>3.0945945945945947</v>
      </c>
      <c r="N73" s="228">
        <v>0.14847161572052403</v>
      </c>
      <c r="O73" s="227">
        <v>24.0</v>
      </c>
      <c r="P73" s="226">
        <v>0.32432432432432434</v>
      </c>
      <c r="Q73" s="225" t="s">
        <v>1114</v>
      </c>
      <c r="R73" s="228">
        <v>0.662</v>
      </c>
      <c r="S73" s="225" t="s">
        <v>1104</v>
      </c>
      <c r="T73" s="227">
        <v>48.0</v>
      </c>
      <c r="U73" s="227">
        <v>46.0</v>
      </c>
      <c r="V73" s="226">
        <v>0.6216216216216216</v>
      </c>
      <c r="W73" s="227">
        <v>33.0</v>
      </c>
      <c r="X73" s="226">
        <v>0.44594594594594594</v>
      </c>
      <c r="Y73" s="227"/>
      <c r="Z73" s="228"/>
      <c r="AA73" s="227"/>
      <c r="AB73" s="228">
        <v>0.364</v>
      </c>
      <c r="AC73" s="225"/>
      <c r="AD73" s="225"/>
      <c r="AE73" s="227"/>
      <c r="AF73" s="225" t="s">
        <v>1116</v>
      </c>
      <c r="AG73" s="229"/>
    </row>
    <row r="74">
      <c r="A74" s="225" t="s">
        <v>114</v>
      </c>
      <c r="B74" s="225" t="s">
        <v>365</v>
      </c>
      <c r="C74" s="225" t="s">
        <v>815</v>
      </c>
      <c r="D74" s="226">
        <v>24.2</v>
      </c>
      <c r="E74" s="225" t="s">
        <v>815</v>
      </c>
      <c r="F74" s="227">
        <v>80.0</v>
      </c>
      <c r="G74" s="227">
        <v>25.0</v>
      </c>
      <c r="H74" s="227">
        <v>51.0</v>
      </c>
      <c r="I74" s="227">
        <v>76.0</v>
      </c>
      <c r="J74" s="226">
        <v>0.95</v>
      </c>
      <c r="K74" s="226">
        <v>79.8</v>
      </c>
      <c r="L74" s="227">
        <v>173.0</v>
      </c>
      <c r="M74" s="226">
        <v>2.1625</v>
      </c>
      <c r="N74" s="228">
        <v>0.14450867052023122</v>
      </c>
      <c r="O74" s="227">
        <v>27.0</v>
      </c>
      <c r="P74" s="226">
        <v>0.3375</v>
      </c>
      <c r="Q74" s="225" t="s">
        <v>806</v>
      </c>
      <c r="R74" s="228">
        <v>0.6559999999999999</v>
      </c>
      <c r="S74" s="225" t="s">
        <v>1117</v>
      </c>
      <c r="T74" s="227">
        <v>22.0</v>
      </c>
      <c r="U74" s="227">
        <v>43.0</v>
      </c>
      <c r="V74" s="226">
        <v>0.5375</v>
      </c>
      <c r="W74" s="227">
        <v>29.0</v>
      </c>
      <c r="X74" s="226">
        <v>0.3625</v>
      </c>
      <c r="Y74" s="227"/>
      <c r="Z74" s="228"/>
      <c r="AA74" s="227"/>
      <c r="AB74" s="228">
        <v>0.053</v>
      </c>
      <c r="AC74" s="225"/>
      <c r="AD74" s="225"/>
      <c r="AE74" s="227"/>
      <c r="AF74" s="225" t="s">
        <v>1119</v>
      </c>
      <c r="AG74" s="229"/>
    </row>
    <row r="75">
      <c r="A75" s="225" t="s">
        <v>114</v>
      </c>
      <c r="B75" s="225" t="s">
        <v>301</v>
      </c>
      <c r="C75" s="225" t="s">
        <v>13</v>
      </c>
      <c r="D75" s="226">
        <v>28.5</v>
      </c>
      <c r="E75" s="225" t="s">
        <v>815</v>
      </c>
      <c r="F75" s="227">
        <v>82.0</v>
      </c>
      <c r="G75" s="227">
        <v>41.0</v>
      </c>
      <c r="H75" s="227">
        <v>44.0</v>
      </c>
      <c r="I75" s="227">
        <v>85.0</v>
      </c>
      <c r="J75" s="226">
        <v>1.0365853658536586</v>
      </c>
      <c r="K75" s="226">
        <v>87.07317073170732</v>
      </c>
      <c r="L75" s="227">
        <v>287.0</v>
      </c>
      <c r="M75" s="226">
        <v>3.5</v>
      </c>
      <c r="N75" s="228">
        <v>0.14285714285714285</v>
      </c>
      <c r="O75" s="227">
        <v>23.0</v>
      </c>
      <c r="P75" s="226">
        <v>0.2804878048780488</v>
      </c>
      <c r="Q75" s="225" t="s">
        <v>1120</v>
      </c>
      <c r="R75" s="228">
        <v>0.67</v>
      </c>
      <c r="S75" s="225" t="s">
        <v>1121</v>
      </c>
      <c r="T75" s="227">
        <v>19.0</v>
      </c>
      <c r="U75" s="227">
        <v>38.0</v>
      </c>
      <c r="V75" s="226">
        <v>0.4634146341463415</v>
      </c>
      <c r="W75" s="227">
        <v>39.0</v>
      </c>
      <c r="X75" s="226">
        <v>0.47560975609756095</v>
      </c>
      <c r="Y75" s="227"/>
      <c r="Z75" s="228"/>
      <c r="AA75" s="227"/>
      <c r="AB75" s="228">
        <v>0.008</v>
      </c>
      <c r="AC75" s="225"/>
      <c r="AD75" s="225"/>
      <c r="AE75" s="227"/>
      <c r="AF75" s="225" t="s">
        <v>1122</v>
      </c>
      <c r="AG75" s="229"/>
    </row>
    <row r="76">
      <c r="A76" s="225" t="s">
        <v>114</v>
      </c>
      <c r="B76" s="225" t="s">
        <v>980</v>
      </c>
      <c r="C76" s="225" t="s">
        <v>59</v>
      </c>
      <c r="D76" s="226">
        <v>31.9</v>
      </c>
      <c r="E76" s="225" t="s">
        <v>13</v>
      </c>
      <c r="F76" s="227">
        <v>79.0</v>
      </c>
      <c r="G76" s="227">
        <v>9.0</v>
      </c>
      <c r="H76" s="227">
        <v>34.0</v>
      </c>
      <c r="I76" s="227">
        <v>43.0</v>
      </c>
      <c r="J76" s="226">
        <v>0.5443037974683544</v>
      </c>
      <c r="K76" s="226">
        <v>45.721518987341774</v>
      </c>
      <c r="L76" s="227">
        <v>115.0</v>
      </c>
      <c r="M76" s="226">
        <v>1.4556962025316456</v>
      </c>
      <c r="N76" s="228">
        <v>0.0782608695652174</v>
      </c>
      <c r="O76" s="227">
        <v>8.0</v>
      </c>
      <c r="P76" s="226">
        <v>0.10126582278481013</v>
      </c>
      <c r="Q76" s="225" t="s">
        <v>1124</v>
      </c>
      <c r="R76" s="228">
        <v>0.272</v>
      </c>
      <c r="S76" s="225" t="s">
        <v>1125</v>
      </c>
      <c r="T76" s="227">
        <v>24.0</v>
      </c>
      <c r="U76" s="227">
        <v>44.0</v>
      </c>
      <c r="V76" s="226">
        <v>0.5569620253164557</v>
      </c>
      <c r="W76" s="227">
        <v>64.0</v>
      </c>
      <c r="X76" s="226">
        <v>0.810126582278481</v>
      </c>
      <c r="Y76" s="227"/>
      <c r="Z76" s="228"/>
      <c r="AA76" s="227"/>
      <c r="AB76" s="228">
        <v>0.354</v>
      </c>
      <c r="AC76" s="225"/>
      <c r="AD76" s="225"/>
      <c r="AE76" s="227"/>
      <c r="AF76" s="225" t="s">
        <v>1126</v>
      </c>
      <c r="AG76" s="229"/>
    </row>
    <row r="77">
      <c r="A77" s="225" t="s">
        <v>114</v>
      </c>
      <c r="B77" s="225" t="s">
        <v>665</v>
      </c>
      <c r="C77" s="225" t="s">
        <v>815</v>
      </c>
      <c r="D77" s="226">
        <v>33.2</v>
      </c>
      <c r="E77" s="225" t="s">
        <v>815</v>
      </c>
      <c r="F77" s="227">
        <v>69.0</v>
      </c>
      <c r="G77" s="227">
        <v>25.0</v>
      </c>
      <c r="H77" s="227">
        <v>29.0</v>
      </c>
      <c r="I77" s="227">
        <v>54.0</v>
      </c>
      <c r="J77" s="226">
        <v>0.782608695652174</v>
      </c>
      <c r="K77" s="226">
        <v>65.73913043478261</v>
      </c>
      <c r="L77" s="227">
        <v>175.0</v>
      </c>
      <c r="M77" s="226">
        <v>2.536231884057971</v>
      </c>
      <c r="N77" s="228">
        <v>0.14285714285714285</v>
      </c>
      <c r="O77" s="227">
        <v>9.0</v>
      </c>
      <c r="P77" s="226">
        <v>0.13043478260869565</v>
      </c>
      <c r="Q77" s="225" t="s">
        <v>1128</v>
      </c>
      <c r="R77" s="228">
        <v>0.42100000000000004</v>
      </c>
      <c r="S77" s="225" t="s">
        <v>1130</v>
      </c>
      <c r="T77" s="227">
        <v>24.0</v>
      </c>
      <c r="U77" s="227">
        <v>24.0</v>
      </c>
      <c r="V77" s="226">
        <v>0.34782608695652173</v>
      </c>
      <c r="W77" s="227">
        <v>36.0</v>
      </c>
      <c r="X77" s="226">
        <v>0.5217391304347826</v>
      </c>
      <c r="Y77" s="227"/>
      <c r="Z77" s="228"/>
      <c r="AA77" s="227"/>
      <c r="AB77" s="228">
        <v>0.0</v>
      </c>
      <c r="AC77" s="225"/>
      <c r="AD77" s="225"/>
      <c r="AE77" s="227"/>
      <c r="AF77" s="225" t="s">
        <v>445</v>
      </c>
      <c r="AG77" s="229"/>
    </row>
    <row r="78">
      <c r="A78" s="225" t="s">
        <v>114</v>
      </c>
      <c r="B78" s="225" t="s">
        <v>1131</v>
      </c>
      <c r="C78" s="225" t="s">
        <v>59</v>
      </c>
      <c r="D78" s="226">
        <v>22.2</v>
      </c>
      <c r="E78" s="225" t="s">
        <v>13</v>
      </c>
      <c r="F78" s="227">
        <v>81.0</v>
      </c>
      <c r="G78" s="227">
        <v>9.0</v>
      </c>
      <c r="H78" s="227">
        <v>10.0</v>
      </c>
      <c r="I78" s="227">
        <v>19.0</v>
      </c>
      <c r="J78" s="226">
        <v>0.2345679012345679</v>
      </c>
      <c r="K78" s="226">
        <v>19.703703703703702</v>
      </c>
      <c r="L78" s="227">
        <v>131.0</v>
      </c>
      <c r="M78" s="226">
        <v>1.617283950617284</v>
      </c>
      <c r="N78" s="228">
        <v>0.06870229007633588</v>
      </c>
      <c r="O78" s="227">
        <v>2.0</v>
      </c>
      <c r="P78" s="226">
        <v>0.024691358024691357</v>
      </c>
      <c r="Q78" s="225" t="s">
        <v>1133</v>
      </c>
      <c r="R78" s="228">
        <v>0.155</v>
      </c>
      <c r="S78" s="225" t="s">
        <v>1134</v>
      </c>
      <c r="T78" s="227">
        <v>33.0</v>
      </c>
      <c r="U78" s="227">
        <v>186.0</v>
      </c>
      <c r="V78" s="226">
        <v>2.2962962962962963</v>
      </c>
      <c r="W78" s="227">
        <v>51.0</v>
      </c>
      <c r="X78" s="226">
        <v>0.6296296296296297</v>
      </c>
      <c r="Y78" s="227"/>
      <c r="Z78" s="228"/>
      <c r="AA78" s="227"/>
      <c r="AB78" s="228">
        <v>0.185</v>
      </c>
      <c r="AC78" s="225"/>
      <c r="AD78" s="225"/>
      <c r="AE78" s="227"/>
      <c r="AF78" s="225" t="s">
        <v>1136</v>
      </c>
      <c r="AG78" s="229"/>
    </row>
    <row r="79">
      <c r="A79" s="225" t="s">
        <v>114</v>
      </c>
      <c r="B79" s="225" t="s">
        <v>1042</v>
      </c>
      <c r="C79" s="225" t="s">
        <v>13</v>
      </c>
      <c r="D79" s="226">
        <v>21.0</v>
      </c>
      <c r="E79" s="225" t="s">
        <v>13</v>
      </c>
      <c r="F79" s="227">
        <v>82.0</v>
      </c>
      <c r="G79" s="227">
        <v>13.0</v>
      </c>
      <c r="H79" s="227">
        <v>17.0</v>
      </c>
      <c r="I79" s="227">
        <v>30.0</v>
      </c>
      <c r="J79" s="226">
        <v>0.36585365853658536</v>
      </c>
      <c r="K79" s="226">
        <v>30.73170731707317</v>
      </c>
      <c r="L79" s="227">
        <v>120.0</v>
      </c>
      <c r="M79" s="226">
        <v>1.4634146341463414</v>
      </c>
      <c r="N79" s="228">
        <v>0.10833333333333334</v>
      </c>
      <c r="O79" s="227">
        <v>8.0</v>
      </c>
      <c r="P79" s="226">
        <v>0.0975609756097561</v>
      </c>
      <c r="Q79" s="225" t="s">
        <v>1013</v>
      </c>
      <c r="R79" s="228">
        <v>0.281</v>
      </c>
      <c r="S79" s="225" t="s">
        <v>976</v>
      </c>
      <c r="T79" s="227">
        <v>6.0</v>
      </c>
      <c r="U79" s="227">
        <v>131.0</v>
      </c>
      <c r="V79" s="226">
        <v>1.5975609756097562</v>
      </c>
      <c r="W79" s="227">
        <v>41.0</v>
      </c>
      <c r="X79" s="226">
        <v>0.5</v>
      </c>
      <c r="Y79" s="227"/>
      <c r="Z79" s="228"/>
      <c r="AA79" s="227"/>
      <c r="AB79" s="228">
        <v>0.163</v>
      </c>
      <c r="AC79" s="225"/>
      <c r="AD79" s="225"/>
      <c r="AE79" s="227"/>
      <c r="AF79" s="225" t="s">
        <v>845</v>
      </c>
      <c r="AG79" s="229"/>
    </row>
    <row r="80">
      <c r="A80" s="225" t="s">
        <v>49</v>
      </c>
      <c r="B80" s="225" t="s">
        <v>56</v>
      </c>
      <c r="C80" s="225" t="s">
        <v>59</v>
      </c>
      <c r="D80" s="226">
        <v>29.4</v>
      </c>
      <c r="E80" s="225" t="s">
        <v>13</v>
      </c>
      <c r="F80" s="227">
        <v>82.0</v>
      </c>
      <c r="G80" s="227">
        <v>48.0</v>
      </c>
      <c r="H80" s="227">
        <v>90.0</v>
      </c>
      <c r="I80" s="227">
        <v>138.0</v>
      </c>
      <c r="J80" s="226">
        <v>1.6829268292682926</v>
      </c>
      <c r="K80" s="226">
        <v>141.3658536585366</v>
      </c>
      <c r="L80" s="227">
        <v>306.0</v>
      </c>
      <c r="M80" s="226">
        <v>3.731707317073171</v>
      </c>
      <c r="N80" s="228">
        <v>0.1568627450980392</v>
      </c>
      <c r="O80" s="227">
        <v>54.0</v>
      </c>
      <c r="P80" s="226">
        <v>0.6585365853658537</v>
      </c>
      <c r="Q80" s="225" t="s">
        <v>1138</v>
      </c>
      <c r="R80" s="228">
        <v>0.8640000000000001</v>
      </c>
      <c r="S80" s="225" t="s">
        <v>1139</v>
      </c>
      <c r="T80" s="227">
        <v>44.0</v>
      </c>
      <c r="U80" s="227">
        <v>40.0</v>
      </c>
      <c r="V80" s="226">
        <v>0.4878048780487805</v>
      </c>
      <c r="W80" s="227">
        <v>30.0</v>
      </c>
      <c r="X80" s="226">
        <v>0.36585365853658536</v>
      </c>
      <c r="Y80" s="227"/>
      <c r="Z80" s="228"/>
      <c r="AA80" s="227"/>
      <c r="AB80" s="228">
        <v>0.24100000000000002</v>
      </c>
      <c r="AC80" s="225"/>
      <c r="AD80" s="225"/>
      <c r="AE80" s="227"/>
      <c r="AF80" s="225" t="s">
        <v>1141</v>
      </c>
      <c r="AG80" s="229"/>
    </row>
    <row r="81">
      <c r="A81" s="225" t="s">
        <v>49</v>
      </c>
      <c r="B81" s="225" t="s">
        <v>1142</v>
      </c>
      <c r="C81" s="225" t="s">
        <v>13</v>
      </c>
      <c r="D81" s="226">
        <v>22.5</v>
      </c>
      <c r="E81" s="225" t="s">
        <v>815</v>
      </c>
      <c r="F81" s="227">
        <v>82.0</v>
      </c>
      <c r="G81" s="227">
        <v>18.0</v>
      </c>
      <c r="H81" s="227">
        <v>19.0</v>
      </c>
      <c r="I81" s="227">
        <v>37.0</v>
      </c>
      <c r="J81" s="226">
        <v>0.45121951219512196</v>
      </c>
      <c r="K81" s="226">
        <v>37.90243902439025</v>
      </c>
      <c r="L81" s="227">
        <v>138.0</v>
      </c>
      <c r="M81" s="226">
        <v>1.6829268292682926</v>
      </c>
      <c r="N81" s="228">
        <v>0.13043478260869565</v>
      </c>
      <c r="O81" s="227">
        <v>7.0</v>
      </c>
      <c r="P81" s="226">
        <v>0.08536585365853659</v>
      </c>
      <c r="Q81" s="225" t="s">
        <v>1144</v>
      </c>
      <c r="R81" s="228">
        <v>0.19899999999999998</v>
      </c>
      <c r="S81" s="225" t="s">
        <v>1145</v>
      </c>
      <c r="T81" s="227">
        <v>24.0</v>
      </c>
      <c r="U81" s="227">
        <v>14.0</v>
      </c>
      <c r="V81" s="226">
        <v>0.17073170731707318</v>
      </c>
      <c r="W81" s="227">
        <v>37.0</v>
      </c>
      <c r="X81" s="226">
        <v>0.45121951219512196</v>
      </c>
      <c r="Y81" s="227"/>
      <c r="Z81" s="228"/>
      <c r="AA81" s="227"/>
      <c r="AB81" s="228">
        <v>0.36700000000000005</v>
      </c>
      <c r="AC81" s="225"/>
      <c r="AD81" s="225"/>
      <c r="AE81" s="227"/>
      <c r="AF81" s="225" t="s">
        <v>1136</v>
      </c>
      <c r="AG81" s="229"/>
    </row>
    <row r="82">
      <c r="A82" s="225" t="s">
        <v>49</v>
      </c>
      <c r="B82" s="225" t="s">
        <v>1094</v>
      </c>
      <c r="C82" s="225" t="s">
        <v>13</v>
      </c>
      <c r="D82" s="226">
        <v>25.0</v>
      </c>
      <c r="E82" s="225" t="s">
        <v>13</v>
      </c>
      <c r="F82" s="227">
        <v>82.0</v>
      </c>
      <c r="G82" s="227">
        <v>19.0</v>
      </c>
      <c r="H82" s="227">
        <v>18.0</v>
      </c>
      <c r="I82" s="227">
        <v>37.0</v>
      </c>
      <c r="J82" s="226">
        <v>0.45121951219512196</v>
      </c>
      <c r="K82" s="226">
        <v>37.90243902439025</v>
      </c>
      <c r="L82" s="227">
        <v>139.0</v>
      </c>
      <c r="M82" s="226">
        <v>1.6951219512195121</v>
      </c>
      <c r="N82" s="228">
        <v>0.1366906474820144</v>
      </c>
      <c r="O82" s="227">
        <v>3.0</v>
      </c>
      <c r="P82" s="226">
        <v>0.036585365853658534</v>
      </c>
      <c r="Q82" s="225" t="s">
        <v>1147</v>
      </c>
      <c r="R82" s="228">
        <v>0.111</v>
      </c>
      <c r="S82" s="225" t="s">
        <v>1148</v>
      </c>
      <c r="T82" s="227">
        <v>63.0</v>
      </c>
      <c r="U82" s="227">
        <v>242.0</v>
      </c>
      <c r="V82" s="226">
        <v>2.951219512195122</v>
      </c>
      <c r="W82" s="227">
        <v>52.0</v>
      </c>
      <c r="X82" s="226">
        <v>0.6341463414634146</v>
      </c>
      <c r="Y82" s="227"/>
      <c r="Z82" s="228"/>
      <c r="AA82" s="227"/>
      <c r="AB82" s="228">
        <v>0.14300000000000002</v>
      </c>
      <c r="AC82" s="225"/>
      <c r="AD82" s="225"/>
      <c r="AE82" s="227"/>
      <c r="AF82" s="225" t="s">
        <v>397</v>
      </c>
      <c r="AG82" s="229"/>
    </row>
    <row r="83">
      <c r="A83" s="225" t="s">
        <v>49</v>
      </c>
      <c r="B83" s="225" t="s">
        <v>624</v>
      </c>
      <c r="C83" s="225" t="s">
        <v>13</v>
      </c>
      <c r="D83" s="226">
        <v>33.2</v>
      </c>
      <c r="E83" s="225" t="s">
        <v>13</v>
      </c>
      <c r="F83" s="227">
        <v>72.0</v>
      </c>
      <c r="G83" s="227">
        <v>20.0</v>
      </c>
      <c r="H83" s="227">
        <v>36.0</v>
      </c>
      <c r="I83" s="227">
        <v>56.0</v>
      </c>
      <c r="J83" s="226">
        <v>0.7777777777777778</v>
      </c>
      <c r="K83" s="226">
        <v>65.33333333333333</v>
      </c>
      <c r="L83" s="227">
        <v>133.0</v>
      </c>
      <c r="M83" s="226">
        <v>1.8472222222222223</v>
      </c>
      <c r="N83" s="228">
        <v>0.15037593984962405</v>
      </c>
      <c r="O83" s="227">
        <v>29.0</v>
      </c>
      <c r="P83" s="226">
        <v>0.4027777777777778</v>
      </c>
      <c r="Q83" s="225" t="s">
        <v>1151</v>
      </c>
      <c r="R83" s="228">
        <v>0.826</v>
      </c>
      <c r="S83" s="225" t="s">
        <v>1152</v>
      </c>
      <c r="T83" s="227">
        <v>21.0</v>
      </c>
      <c r="U83" s="227">
        <v>25.0</v>
      </c>
      <c r="V83" s="226">
        <v>0.3472222222222222</v>
      </c>
      <c r="W83" s="227">
        <v>31.0</v>
      </c>
      <c r="X83" s="226">
        <v>0.4305555555555556</v>
      </c>
      <c r="Y83" s="227"/>
      <c r="Z83" s="228"/>
      <c r="AA83" s="227"/>
      <c r="AB83" s="228">
        <v>0.303</v>
      </c>
      <c r="AC83" s="225"/>
      <c r="AD83" s="225"/>
      <c r="AE83" s="227"/>
      <c r="AF83" s="225" t="s">
        <v>1154</v>
      </c>
      <c r="AG83" s="229"/>
    </row>
    <row r="84">
      <c r="A84" s="225" t="s">
        <v>49</v>
      </c>
      <c r="B84" s="225" t="s">
        <v>411</v>
      </c>
      <c r="C84" s="225" t="s">
        <v>815</v>
      </c>
      <c r="D84" s="226">
        <v>34.0</v>
      </c>
      <c r="E84" s="225" t="s">
        <v>815</v>
      </c>
      <c r="F84" s="227">
        <v>58.0</v>
      </c>
      <c r="G84" s="227">
        <v>31.0</v>
      </c>
      <c r="H84" s="227">
        <v>21.0</v>
      </c>
      <c r="I84" s="227">
        <v>52.0</v>
      </c>
      <c r="J84" s="226">
        <v>0.896551724137931</v>
      </c>
      <c r="K84" s="226">
        <v>75.3103448275862</v>
      </c>
      <c r="L84" s="227">
        <v>159.0</v>
      </c>
      <c r="M84" s="226">
        <v>2.7413793103448274</v>
      </c>
      <c r="N84" s="228">
        <v>0.1949685534591195</v>
      </c>
      <c r="O84" s="227">
        <v>15.0</v>
      </c>
      <c r="P84" s="226">
        <v>0.25862068965517243</v>
      </c>
      <c r="Q84" s="225" t="s">
        <v>1155</v>
      </c>
      <c r="R84" s="228">
        <v>0.853</v>
      </c>
      <c r="S84" s="225" t="s">
        <v>1156</v>
      </c>
      <c r="T84" s="227">
        <v>28.0</v>
      </c>
      <c r="U84" s="227">
        <v>56.0</v>
      </c>
      <c r="V84" s="226">
        <v>0.9655172413793104</v>
      </c>
      <c r="W84" s="227">
        <v>18.0</v>
      </c>
      <c r="X84" s="226">
        <v>0.3103448275862069</v>
      </c>
      <c r="Y84" s="227"/>
      <c r="Z84" s="228"/>
      <c r="AA84" s="227"/>
      <c r="AB84" s="228">
        <v>0.008</v>
      </c>
      <c r="AC84" s="225"/>
      <c r="AD84" s="225"/>
      <c r="AE84" s="227"/>
      <c r="AF84" s="225" t="s">
        <v>864</v>
      </c>
      <c r="AG84" s="229"/>
    </row>
    <row r="85">
      <c r="A85" s="225" t="s">
        <v>49</v>
      </c>
      <c r="B85" s="225" t="s">
        <v>108</v>
      </c>
      <c r="C85" s="225" t="s">
        <v>59</v>
      </c>
      <c r="D85" s="226">
        <v>30.6</v>
      </c>
      <c r="E85" s="225" t="s">
        <v>13</v>
      </c>
      <c r="F85" s="227">
        <v>65.0</v>
      </c>
      <c r="G85" s="227">
        <v>35.0</v>
      </c>
      <c r="H85" s="227">
        <v>62.0</v>
      </c>
      <c r="I85" s="227">
        <v>97.0</v>
      </c>
      <c r="J85" s="226">
        <v>1.4923076923076923</v>
      </c>
      <c r="K85" s="226">
        <v>125.35384615384615</v>
      </c>
      <c r="L85" s="227">
        <v>186.0</v>
      </c>
      <c r="M85" s="226">
        <v>2.8615384615384616</v>
      </c>
      <c r="N85" s="228">
        <v>0.1881720430107527</v>
      </c>
      <c r="O85" s="227">
        <v>42.0</v>
      </c>
      <c r="P85" s="226">
        <v>0.6461538461538462</v>
      </c>
      <c r="Q85" s="225" t="s">
        <v>1138</v>
      </c>
      <c r="R85" s="228">
        <v>0.8540000000000001</v>
      </c>
      <c r="S85" s="225" t="s">
        <v>1159</v>
      </c>
      <c r="T85" s="227">
        <v>26.0</v>
      </c>
      <c r="U85" s="227">
        <v>34.0</v>
      </c>
      <c r="V85" s="226">
        <v>0.5230769230769231</v>
      </c>
      <c r="W85" s="227">
        <v>15.0</v>
      </c>
      <c r="X85" s="226">
        <v>0.23076923076923078</v>
      </c>
      <c r="Y85" s="227"/>
      <c r="Z85" s="228"/>
      <c r="AA85" s="227"/>
      <c r="AB85" s="228">
        <v>0.102</v>
      </c>
      <c r="AC85" s="225"/>
      <c r="AD85" s="225"/>
      <c r="AE85" s="227"/>
      <c r="AF85" s="225" t="s">
        <v>1162</v>
      </c>
      <c r="AG85" s="229"/>
    </row>
    <row r="86">
      <c r="A86" s="225" t="s">
        <v>181</v>
      </c>
      <c r="B86" s="225" t="s">
        <v>809</v>
      </c>
      <c r="C86" s="225" t="s">
        <v>13</v>
      </c>
      <c r="D86" s="226">
        <v>30.8</v>
      </c>
      <c r="E86" s="225" t="s">
        <v>13</v>
      </c>
      <c r="F86" s="227">
        <v>77.0</v>
      </c>
      <c r="G86" s="227">
        <v>25.0</v>
      </c>
      <c r="H86" s="227">
        <v>30.0</v>
      </c>
      <c r="I86" s="227">
        <v>55.0</v>
      </c>
      <c r="J86" s="226">
        <v>0.7142857142857143</v>
      </c>
      <c r="K86" s="226">
        <v>60.0</v>
      </c>
      <c r="L86" s="227">
        <v>187.0</v>
      </c>
      <c r="M86" s="226">
        <v>2.4285714285714284</v>
      </c>
      <c r="N86" s="228">
        <v>0.13368983957219252</v>
      </c>
      <c r="O86" s="227">
        <v>11.0</v>
      </c>
      <c r="P86" s="226">
        <v>0.14285714285714285</v>
      </c>
      <c r="Q86" s="225" t="s">
        <v>974</v>
      </c>
      <c r="R86" s="228">
        <v>0.484</v>
      </c>
      <c r="S86" s="225" t="s">
        <v>896</v>
      </c>
      <c r="T86" s="227">
        <v>32.0</v>
      </c>
      <c r="U86" s="227">
        <v>68.0</v>
      </c>
      <c r="V86" s="226">
        <v>0.8831168831168831</v>
      </c>
      <c r="W86" s="227">
        <v>22.0</v>
      </c>
      <c r="X86" s="226">
        <v>0.2857142857142857</v>
      </c>
      <c r="Y86" s="227"/>
      <c r="Z86" s="228"/>
      <c r="AA86" s="227"/>
      <c r="AB86" s="228">
        <v>0.01</v>
      </c>
      <c r="AC86" s="225"/>
      <c r="AD86" s="225"/>
      <c r="AE86" s="227"/>
      <c r="AF86" s="225" t="s">
        <v>819</v>
      </c>
      <c r="AG86" s="229"/>
    </row>
    <row r="87">
      <c r="A87" s="225" t="s">
        <v>181</v>
      </c>
      <c r="B87" s="225" t="s">
        <v>276</v>
      </c>
      <c r="C87" s="225"/>
      <c r="D87" s="226"/>
      <c r="E87" s="225"/>
      <c r="F87" s="227"/>
      <c r="G87" s="227"/>
      <c r="H87" s="227"/>
      <c r="I87" s="227"/>
      <c r="J87" s="226"/>
      <c r="K87" s="226"/>
      <c r="L87" s="227"/>
      <c r="M87" s="226"/>
      <c r="N87" s="228"/>
      <c r="O87" s="227"/>
      <c r="P87" s="226"/>
      <c r="Q87" s="225"/>
      <c r="R87" s="228"/>
      <c r="S87" s="225"/>
      <c r="T87" s="227"/>
      <c r="U87" s="227"/>
      <c r="V87" s="226"/>
      <c r="W87" s="227"/>
      <c r="X87" s="226"/>
      <c r="Y87" s="227"/>
      <c r="Z87" s="228"/>
      <c r="AA87" s="227"/>
      <c r="AB87" s="228"/>
      <c r="AC87" s="225"/>
      <c r="AD87" s="225"/>
      <c r="AE87" s="227"/>
      <c r="AF87" s="225"/>
      <c r="AG87" s="229"/>
    </row>
    <row r="88">
      <c r="A88" s="225" t="s">
        <v>181</v>
      </c>
      <c r="B88" s="225" t="s">
        <v>374</v>
      </c>
      <c r="C88" s="225" t="s">
        <v>815</v>
      </c>
      <c r="D88" s="226">
        <v>30.6</v>
      </c>
      <c r="E88" s="225" t="s">
        <v>815</v>
      </c>
      <c r="F88" s="227">
        <v>64.0</v>
      </c>
      <c r="G88" s="227">
        <v>29.0</v>
      </c>
      <c r="H88" s="227">
        <v>32.0</v>
      </c>
      <c r="I88" s="227">
        <v>61.0</v>
      </c>
      <c r="J88" s="226">
        <v>0.953125</v>
      </c>
      <c r="K88" s="226">
        <v>80.0625</v>
      </c>
      <c r="L88" s="227">
        <v>166.0</v>
      </c>
      <c r="M88" s="226">
        <v>2.59375</v>
      </c>
      <c r="N88" s="228">
        <v>0.1746987951807229</v>
      </c>
      <c r="O88" s="227">
        <v>25.0</v>
      </c>
      <c r="P88" s="226">
        <v>0.390625</v>
      </c>
      <c r="Q88" s="225" t="s">
        <v>1168</v>
      </c>
      <c r="R88" s="228">
        <v>0.71</v>
      </c>
      <c r="S88" s="225" t="s">
        <v>1170</v>
      </c>
      <c r="T88" s="227">
        <v>10.0</v>
      </c>
      <c r="U88" s="227">
        <v>59.0</v>
      </c>
      <c r="V88" s="226">
        <v>0.921875</v>
      </c>
      <c r="W88" s="227">
        <v>40.0</v>
      </c>
      <c r="X88" s="226">
        <v>0.625</v>
      </c>
      <c r="Y88" s="227"/>
      <c r="Z88" s="228"/>
      <c r="AA88" s="227"/>
      <c r="AB88" s="228">
        <v>0.354</v>
      </c>
      <c r="AC88" s="225"/>
      <c r="AD88" s="225"/>
      <c r="AE88" s="227"/>
      <c r="AF88" s="225" t="s">
        <v>1172</v>
      </c>
      <c r="AG88" s="229"/>
    </row>
    <row r="89">
      <c r="A89" s="225" t="s">
        <v>181</v>
      </c>
      <c r="B89" s="225" t="s">
        <v>487</v>
      </c>
      <c r="C89" s="225" t="s">
        <v>13</v>
      </c>
      <c r="D89" s="226">
        <v>26.8</v>
      </c>
      <c r="E89" s="225" t="s">
        <v>13</v>
      </c>
      <c r="F89" s="227">
        <v>60.0</v>
      </c>
      <c r="G89" s="227">
        <v>22.0</v>
      </c>
      <c r="H89" s="227">
        <v>37.0</v>
      </c>
      <c r="I89" s="227">
        <v>59.0</v>
      </c>
      <c r="J89" s="226">
        <v>0.9833333333333333</v>
      </c>
      <c r="K89" s="226">
        <v>82.6</v>
      </c>
      <c r="L89" s="227">
        <v>221.0</v>
      </c>
      <c r="M89" s="226">
        <v>3.683333333333333</v>
      </c>
      <c r="N89" s="228">
        <v>0.09954751131221719</v>
      </c>
      <c r="O89" s="227">
        <v>20.0</v>
      </c>
      <c r="P89" s="226">
        <v>0.3333333333333333</v>
      </c>
      <c r="Q89" s="225" t="s">
        <v>909</v>
      </c>
      <c r="R89" s="228">
        <v>0.617</v>
      </c>
      <c r="S89" s="225" t="s">
        <v>1174</v>
      </c>
      <c r="T89" s="227">
        <v>71.0</v>
      </c>
      <c r="U89" s="227">
        <v>162.0</v>
      </c>
      <c r="V89" s="226">
        <v>2.7</v>
      </c>
      <c r="W89" s="227">
        <v>19.0</v>
      </c>
      <c r="X89" s="226">
        <v>0.31666666666666665</v>
      </c>
      <c r="Y89" s="227"/>
      <c r="Z89" s="228"/>
      <c r="AA89" s="227"/>
      <c r="AB89" s="228">
        <v>0.015</v>
      </c>
      <c r="AC89" s="225"/>
      <c r="AD89" s="225"/>
      <c r="AE89" s="227"/>
      <c r="AF89" s="225" t="s">
        <v>1175</v>
      </c>
      <c r="AG89" s="229"/>
    </row>
    <row r="90">
      <c r="A90" s="225" t="s">
        <v>181</v>
      </c>
      <c r="B90" s="225" t="s">
        <v>245</v>
      </c>
      <c r="C90" s="225" t="s">
        <v>815</v>
      </c>
      <c r="D90" s="226">
        <v>28.5</v>
      </c>
      <c r="E90" s="225" t="s">
        <v>13</v>
      </c>
      <c r="F90" s="227">
        <v>31.0</v>
      </c>
      <c r="G90" s="227">
        <v>13.0</v>
      </c>
      <c r="H90" s="227">
        <v>21.0</v>
      </c>
      <c r="I90" s="227">
        <v>34.0</v>
      </c>
      <c r="J90" s="226">
        <v>1.096774193548387</v>
      </c>
      <c r="K90" s="226">
        <v>92.12903225806451</v>
      </c>
      <c r="L90" s="227">
        <v>88.0</v>
      </c>
      <c r="M90" s="226">
        <v>2.838709677419355</v>
      </c>
      <c r="N90" s="228">
        <v>0.14772727272727273</v>
      </c>
      <c r="O90" s="227">
        <v>13.0</v>
      </c>
      <c r="P90" s="226">
        <v>0.41935483870967744</v>
      </c>
      <c r="Q90" s="225" t="s">
        <v>1177</v>
      </c>
      <c r="R90" s="228">
        <v>0.775</v>
      </c>
      <c r="S90" s="225" t="s">
        <v>1178</v>
      </c>
      <c r="T90" s="227">
        <v>48.0</v>
      </c>
      <c r="U90" s="227">
        <v>29.0</v>
      </c>
      <c r="V90" s="226">
        <v>0.9354838709677419</v>
      </c>
      <c r="W90" s="227">
        <v>7.0</v>
      </c>
      <c r="X90" s="226">
        <v>0.22580645161290322</v>
      </c>
      <c r="Y90" s="227"/>
      <c r="Z90" s="228"/>
      <c r="AA90" s="227"/>
      <c r="AB90" s="228">
        <v>0.057</v>
      </c>
      <c r="AC90" s="225"/>
      <c r="AD90" s="225"/>
      <c r="AE90" s="227"/>
      <c r="AF90" s="225" t="s">
        <v>51</v>
      </c>
      <c r="AG90" s="229"/>
    </row>
    <row r="91">
      <c r="A91" s="225" t="s">
        <v>181</v>
      </c>
      <c r="B91" s="225" t="s">
        <v>835</v>
      </c>
      <c r="C91" s="225" t="s">
        <v>59</v>
      </c>
      <c r="D91" s="226">
        <v>30.0</v>
      </c>
      <c r="E91" s="225" t="s">
        <v>13</v>
      </c>
      <c r="F91" s="227">
        <v>76.0</v>
      </c>
      <c r="G91" s="227">
        <v>26.0</v>
      </c>
      <c r="H91" s="227">
        <v>32.0</v>
      </c>
      <c r="I91" s="227">
        <v>58.0</v>
      </c>
      <c r="J91" s="226">
        <v>0.7631578947368421</v>
      </c>
      <c r="K91" s="226">
        <v>64.10526315789474</v>
      </c>
      <c r="L91" s="227">
        <v>201.0</v>
      </c>
      <c r="M91" s="226">
        <v>2.6447368421052633</v>
      </c>
      <c r="N91" s="228">
        <v>0.12935323383084577</v>
      </c>
      <c r="O91" s="227">
        <v>14.0</v>
      </c>
      <c r="P91" s="226">
        <v>0.18421052631578946</v>
      </c>
      <c r="Q91" s="225" t="s">
        <v>806</v>
      </c>
      <c r="R91" s="228">
        <v>0.5920000000000001</v>
      </c>
      <c r="S91" s="225" t="s">
        <v>1121</v>
      </c>
      <c r="T91" s="227">
        <v>82.0</v>
      </c>
      <c r="U91" s="227">
        <v>115.0</v>
      </c>
      <c r="V91" s="226">
        <v>1.513157894736842</v>
      </c>
      <c r="W91" s="227">
        <v>32.0</v>
      </c>
      <c r="X91" s="226">
        <v>0.42105263157894735</v>
      </c>
      <c r="Y91" s="227"/>
      <c r="Z91" s="228"/>
      <c r="AA91" s="227"/>
      <c r="AB91" s="228">
        <v>0.156</v>
      </c>
      <c r="AC91" s="225"/>
      <c r="AD91" s="225"/>
      <c r="AE91" s="227"/>
      <c r="AF91" s="225" t="s">
        <v>1181</v>
      </c>
      <c r="AG91" s="229"/>
    </row>
    <row r="92">
      <c r="A92" s="225" t="s">
        <v>181</v>
      </c>
      <c r="B92" s="225" t="s">
        <v>1182</v>
      </c>
      <c r="C92" s="225" t="s">
        <v>59</v>
      </c>
      <c r="D92" s="226">
        <v>27.8</v>
      </c>
      <c r="E92" s="225" t="s">
        <v>13</v>
      </c>
      <c r="F92" s="227">
        <v>73.0</v>
      </c>
      <c r="G92" s="227">
        <v>11.0</v>
      </c>
      <c r="H92" s="227">
        <v>22.0</v>
      </c>
      <c r="I92" s="227">
        <v>33.0</v>
      </c>
      <c r="J92" s="226">
        <v>0.4520547945205479</v>
      </c>
      <c r="K92" s="226">
        <v>37.97260273972603</v>
      </c>
      <c r="L92" s="227">
        <v>107.0</v>
      </c>
      <c r="M92" s="226">
        <v>1.4657534246575343</v>
      </c>
      <c r="N92" s="228">
        <v>0.102803738317757</v>
      </c>
      <c r="O92" s="227">
        <v>1.0</v>
      </c>
      <c r="P92" s="226">
        <v>0.0136986301369863</v>
      </c>
      <c r="Q92" s="225" t="s">
        <v>1184</v>
      </c>
      <c r="R92" s="228">
        <v>0.209</v>
      </c>
      <c r="S92" s="225" t="s">
        <v>1125</v>
      </c>
      <c r="T92" s="227">
        <v>32.0</v>
      </c>
      <c r="U92" s="227">
        <v>121.0</v>
      </c>
      <c r="V92" s="226">
        <v>1.6575342465753424</v>
      </c>
      <c r="W92" s="227">
        <v>57.0</v>
      </c>
      <c r="X92" s="226">
        <v>0.7808219178082192</v>
      </c>
      <c r="Y92" s="227"/>
      <c r="Z92" s="228"/>
      <c r="AA92" s="227"/>
      <c r="AB92" s="228">
        <v>0.35</v>
      </c>
      <c r="AC92" s="225"/>
      <c r="AD92" s="225"/>
      <c r="AE92" s="227"/>
      <c r="AF92" s="225" t="s">
        <v>554</v>
      </c>
      <c r="AG92" s="229"/>
    </row>
    <row r="93">
      <c r="A93" s="225" t="s">
        <v>181</v>
      </c>
      <c r="B93" s="225" t="s">
        <v>926</v>
      </c>
      <c r="C93" s="225" t="s">
        <v>59</v>
      </c>
      <c r="D93" s="226">
        <v>24.7</v>
      </c>
      <c r="E93" s="225" t="s">
        <v>13</v>
      </c>
      <c r="F93" s="227">
        <v>64.0</v>
      </c>
      <c r="G93" s="227">
        <v>18.0</v>
      </c>
      <c r="H93" s="227">
        <v>26.0</v>
      </c>
      <c r="I93" s="227">
        <v>44.0</v>
      </c>
      <c r="J93" s="226">
        <v>0.6875</v>
      </c>
      <c r="K93" s="226">
        <v>57.75</v>
      </c>
      <c r="L93" s="227">
        <v>138.0</v>
      </c>
      <c r="M93" s="226">
        <v>2.15625</v>
      </c>
      <c r="N93" s="228">
        <v>0.13043478260869565</v>
      </c>
      <c r="O93" s="227">
        <v>15.0</v>
      </c>
      <c r="P93" s="226">
        <v>0.234375</v>
      </c>
      <c r="Q93" s="225" t="s">
        <v>974</v>
      </c>
      <c r="R93" s="228">
        <v>0.462</v>
      </c>
      <c r="S93" s="225" t="s">
        <v>811</v>
      </c>
      <c r="T93" s="227">
        <v>34.0</v>
      </c>
      <c r="U93" s="227">
        <v>75.0</v>
      </c>
      <c r="V93" s="226">
        <v>1.171875</v>
      </c>
      <c r="W93" s="227">
        <v>35.0</v>
      </c>
      <c r="X93" s="226">
        <v>0.546875</v>
      </c>
      <c r="Y93" s="227"/>
      <c r="Z93" s="228"/>
      <c r="AA93" s="227"/>
      <c r="AB93" s="228">
        <v>0.386</v>
      </c>
      <c r="AC93" s="225"/>
      <c r="AD93" s="225"/>
      <c r="AE93" s="227"/>
      <c r="AF93" s="225" t="s">
        <v>349</v>
      </c>
      <c r="AG93" s="229"/>
    </row>
    <row r="94">
      <c r="A94" s="225" t="s">
        <v>181</v>
      </c>
      <c r="B94" s="225" t="s">
        <v>709</v>
      </c>
      <c r="C94" s="225" t="s">
        <v>815</v>
      </c>
      <c r="D94" s="226">
        <v>38.1</v>
      </c>
      <c r="E94" s="225" t="s">
        <v>13</v>
      </c>
      <c r="F94" s="227">
        <v>52.0</v>
      </c>
      <c r="G94" s="227">
        <v>27.0</v>
      </c>
      <c r="H94" s="227">
        <v>27.0</v>
      </c>
      <c r="I94" s="227">
        <v>54.0</v>
      </c>
      <c r="J94" s="226">
        <v>1.0384615384615385</v>
      </c>
      <c r="K94" s="226">
        <v>87.23076923076924</v>
      </c>
      <c r="L94" s="227">
        <v>138.0</v>
      </c>
      <c r="M94" s="226">
        <v>2.6538461538461537</v>
      </c>
      <c r="N94" s="228">
        <v>0.1956521739130435</v>
      </c>
      <c r="O94" s="227">
        <v>20.0</v>
      </c>
      <c r="P94" s="226">
        <v>0.38461538461538464</v>
      </c>
      <c r="Q94" s="225" t="s">
        <v>1187</v>
      </c>
      <c r="R94" s="228">
        <v>0.615</v>
      </c>
      <c r="S94" s="225" t="s">
        <v>1041</v>
      </c>
      <c r="T94" s="227">
        <v>38.0</v>
      </c>
      <c r="U94" s="227">
        <v>36.0</v>
      </c>
      <c r="V94" s="226">
        <v>0.6923076923076923</v>
      </c>
      <c r="W94" s="227">
        <v>16.0</v>
      </c>
      <c r="X94" s="226">
        <v>0.3076923076923077</v>
      </c>
      <c r="Y94" s="227"/>
      <c r="Z94" s="228"/>
      <c r="AA94" s="227"/>
      <c r="AB94" s="228">
        <v>0.184</v>
      </c>
      <c r="AC94" s="225"/>
      <c r="AD94" s="225"/>
      <c r="AE94" s="227"/>
      <c r="AF94" s="225" t="s">
        <v>213</v>
      </c>
      <c r="AG94" s="229"/>
    </row>
    <row r="95">
      <c r="A95" s="225" t="s">
        <v>255</v>
      </c>
      <c r="B95" s="225" t="s">
        <v>296</v>
      </c>
      <c r="C95" s="225" t="s">
        <v>13</v>
      </c>
      <c r="D95" s="226">
        <v>34.6</v>
      </c>
      <c r="E95" s="225" t="s">
        <v>815</v>
      </c>
      <c r="F95" s="227">
        <v>78.0</v>
      </c>
      <c r="G95" s="227">
        <v>28.0</v>
      </c>
      <c r="H95" s="227">
        <v>56.0</v>
      </c>
      <c r="I95" s="227">
        <v>84.0</v>
      </c>
      <c r="J95" s="226">
        <v>1.0769230769230769</v>
      </c>
      <c r="K95" s="226">
        <v>90.46153846153845</v>
      </c>
      <c r="L95" s="227">
        <v>224.0</v>
      </c>
      <c r="M95" s="226">
        <v>2.871794871794872</v>
      </c>
      <c r="N95" s="228">
        <v>0.125</v>
      </c>
      <c r="O95" s="227">
        <v>23.0</v>
      </c>
      <c r="P95" s="226">
        <v>0.2948717948717949</v>
      </c>
      <c r="Q95" s="225" t="s">
        <v>892</v>
      </c>
      <c r="R95" s="228">
        <v>0.8370000000000001</v>
      </c>
      <c r="S95" s="225" t="s">
        <v>1190</v>
      </c>
      <c r="T95" s="227">
        <v>20.0</v>
      </c>
      <c r="U95" s="227">
        <v>11.0</v>
      </c>
      <c r="V95" s="226">
        <v>0.14102564102564102</v>
      </c>
      <c r="W95" s="227">
        <v>16.0</v>
      </c>
      <c r="X95" s="226">
        <v>0.20512820512820512</v>
      </c>
      <c r="Y95" s="227"/>
      <c r="Z95" s="228"/>
      <c r="AA95" s="227"/>
      <c r="AB95" s="228">
        <v>0.001</v>
      </c>
      <c r="AC95" s="225"/>
      <c r="AD95" s="225"/>
      <c r="AE95" s="227"/>
      <c r="AF95" s="225" t="s">
        <v>1191</v>
      </c>
      <c r="AG95" s="229"/>
    </row>
    <row r="96">
      <c r="A96" s="225" t="s">
        <v>255</v>
      </c>
      <c r="B96" s="225" t="s">
        <v>661</v>
      </c>
      <c r="C96" s="225" t="s">
        <v>59</v>
      </c>
      <c r="D96" s="226">
        <v>23.8</v>
      </c>
      <c r="E96" s="225" t="s">
        <v>13</v>
      </c>
      <c r="F96" s="227">
        <v>79.0</v>
      </c>
      <c r="G96" s="227">
        <v>24.0</v>
      </c>
      <c r="H96" s="227">
        <v>25.0</v>
      </c>
      <c r="I96" s="227">
        <v>49.0</v>
      </c>
      <c r="J96" s="226">
        <v>0.620253164556962</v>
      </c>
      <c r="K96" s="226">
        <v>52.10126582278481</v>
      </c>
      <c r="L96" s="227">
        <v>180.0</v>
      </c>
      <c r="M96" s="226">
        <v>2.278481012658228</v>
      </c>
      <c r="N96" s="228">
        <v>0.13333333333333333</v>
      </c>
      <c r="O96" s="227">
        <v>11.0</v>
      </c>
      <c r="P96" s="226">
        <v>0.13924050632911392</v>
      </c>
      <c r="Q96" s="225" t="s">
        <v>1193</v>
      </c>
      <c r="R96" s="228">
        <v>0.478</v>
      </c>
      <c r="S96" s="225" t="s">
        <v>1194</v>
      </c>
      <c r="T96" s="227">
        <v>46.0</v>
      </c>
      <c r="U96" s="227">
        <v>66.0</v>
      </c>
      <c r="V96" s="226">
        <v>0.8354430379746836</v>
      </c>
      <c r="W96" s="227">
        <v>44.0</v>
      </c>
      <c r="X96" s="226">
        <v>0.5569620253164557</v>
      </c>
      <c r="Y96" s="227"/>
      <c r="Z96" s="228"/>
      <c r="AA96" s="227"/>
      <c r="AB96" s="228">
        <v>0.419</v>
      </c>
      <c r="AC96" s="225"/>
      <c r="AD96" s="225"/>
      <c r="AE96" s="227"/>
      <c r="AF96" s="225" t="s">
        <v>469</v>
      </c>
      <c r="AG96" s="229"/>
    </row>
    <row r="97">
      <c r="A97" s="225" t="s">
        <v>255</v>
      </c>
      <c r="B97" s="225" t="s">
        <v>435</v>
      </c>
      <c r="C97" s="225" t="s">
        <v>815</v>
      </c>
      <c r="D97" s="226">
        <v>29.8</v>
      </c>
      <c r="E97" s="225" t="s">
        <v>13</v>
      </c>
      <c r="F97" s="227">
        <v>81.0</v>
      </c>
      <c r="G97" s="227">
        <v>36.0</v>
      </c>
      <c r="H97" s="227">
        <v>37.0</v>
      </c>
      <c r="I97" s="227">
        <v>73.0</v>
      </c>
      <c r="J97" s="226">
        <v>0.9012345679012346</v>
      </c>
      <c r="K97" s="226">
        <v>75.70370370370371</v>
      </c>
      <c r="L97" s="227">
        <v>226.0</v>
      </c>
      <c r="M97" s="226">
        <v>2.7901234567901234</v>
      </c>
      <c r="N97" s="228">
        <v>0.1592920353982301</v>
      </c>
      <c r="O97" s="227">
        <v>12.0</v>
      </c>
      <c r="P97" s="226">
        <v>0.14814814814814814</v>
      </c>
      <c r="Q97" s="225" t="s">
        <v>1196</v>
      </c>
      <c r="R97" s="228">
        <v>0.669</v>
      </c>
      <c r="S97" s="225" t="s">
        <v>1197</v>
      </c>
      <c r="T97" s="227">
        <v>58.0</v>
      </c>
      <c r="U97" s="227">
        <v>127.0</v>
      </c>
      <c r="V97" s="226">
        <v>1.5679012345679013</v>
      </c>
      <c r="W97" s="227">
        <v>39.0</v>
      </c>
      <c r="X97" s="226">
        <v>0.48148148148148145</v>
      </c>
      <c r="Y97" s="227"/>
      <c r="Z97" s="228"/>
      <c r="AA97" s="227"/>
      <c r="AB97" s="228">
        <v>0.11900000000000001</v>
      </c>
      <c r="AC97" s="225"/>
      <c r="AD97" s="225"/>
      <c r="AE97" s="227"/>
      <c r="AF97" s="225" t="s">
        <v>864</v>
      </c>
      <c r="AG97" s="229"/>
    </row>
    <row r="98">
      <c r="A98" s="225" t="s">
        <v>255</v>
      </c>
      <c r="B98" s="225" t="s">
        <v>1056</v>
      </c>
      <c r="C98" s="225" t="s">
        <v>13</v>
      </c>
      <c r="D98" s="226">
        <v>31.2</v>
      </c>
      <c r="E98" s="225" t="s">
        <v>13</v>
      </c>
      <c r="F98" s="227">
        <v>69.0</v>
      </c>
      <c r="G98" s="227">
        <v>13.0</v>
      </c>
      <c r="H98" s="227">
        <v>19.0</v>
      </c>
      <c r="I98" s="227">
        <v>32.0</v>
      </c>
      <c r="J98" s="226">
        <v>0.463768115942029</v>
      </c>
      <c r="K98" s="226">
        <v>38.95652173913044</v>
      </c>
      <c r="L98" s="227">
        <v>159.0</v>
      </c>
      <c r="M98" s="226">
        <v>2.3043478260869565</v>
      </c>
      <c r="N98" s="228">
        <v>0.08176100628930817</v>
      </c>
      <c r="O98" s="227">
        <v>1.0</v>
      </c>
      <c r="P98" s="226">
        <v>0.014492753623188406</v>
      </c>
      <c r="Q98" s="225" t="s">
        <v>1200</v>
      </c>
      <c r="R98" s="228">
        <v>0.158</v>
      </c>
      <c r="S98" s="225" t="s">
        <v>1201</v>
      </c>
      <c r="T98" s="227">
        <v>8.0</v>
      </c>
      <c r="U98" s="227">
        <v>57.0</v>
      </c>
      <c r="V98" s="226">
        <v>0.8260869565217391</v>
      </c>
      <c r="W98" s="227">
        <v>36.0</v>
      </c>
      <c r="X98" s="226">
        <v>0.5217391304347826</v>
      </c>
      <c r="Y98" s="227"/>
      <c r="Z98" s="228"/>
      <c r="AA98" s="227"/>
      <c r="AB98" s="228">
        <v>0.364</v>
      </c>
      <c r="AC98" s="225"/>
      <c r="AD98" s="225"/>
      <c r="AE98" s="227"/>
      <c r="AF98" s="225" t="s">
        <v>813</v>
      </c>
      <c r="AG98" s="229"/>
    </row>
    <row r="99">
      <c r="A99" s="225" t="s">
        <v>255</v>
      </c>
      <c r="B99" s="225" t="s">
        <v>546</v>
      </c>
      <c r="C99" s="225" t="s">
        <v>815</v>
      </c>
      <c r="D99" s="226">
        <v>38.8</v>
      </c>
      <c r="E99" s="225" t="s">
        <v>13</v>
      </c>
      <c r="F99" s="227">
        <v>59.0</v>
      </c>
      <c r="G99" s="227">
        <v>15.0</v>
      </c>
      <c r="H99" s="227">
        <v>39.0</v>
      </c>
      <c r="I99" s="227">
        <v>54.0</v>
      </c>
      <c r="J99" s="226">
        <v>0.9152542372881356</v>
      </c>
      <c r="K99" s="226">
        <v>76.88135593220339</v>
      </c>
      <c r="L99" s="227">
        <v>122.0</v>
      </c>
      <c r="M99" s="226">
        <v>2.0677966101694913</v>
      </c>
      <c r="N99" s="228">
        <v>0.12295081967213115</v>
      </c>
      <c r="O99" s="227">
        <v>21.0</v>
      </c>
      <c r="P99" s="226">
        <v>0.3559322033898305</v>
      </c>
      <c r="Q99" s="225" t="s">
        <v>1155</v>
      </c>
      <c r="R99" s="228">
        <v>0.741</v>
      </c>
      <c r="S99" s="225" t="s">
        <v>1203</v>
      </c>
      <c r="T99" s="227">
        <v>20.0</v>
      </c>
      <c r="U99" s="227">
        <v>16.0</v>
      </c>
      <c r="V99" s="226">
        <v>0.2711864406779661</v>
      </c>
      <c r="W99" s="227">
        <v>26.0</v>
      </c>
      <c r="X99" s="226">
        <v>0.4406779661016949</v>
      </c>
      <c r="Y99" s="227"/>
      <c r="Z99" s="228"/>
      <c r="AA99" s="227"/>
      <c r="AB99" s="228">
        <v>0.005</v>
      </c>
      <c r="AC99" s="225"/>
      <c r="AD99" s="225"/>
      <c r="AE99" s="227"/>
      <c r="AF99" s="225" t="s">
        <v>999</v>
      </c>
      <c r="AG99" s="229"/>
    </row>
    <row r="100">
      <c r="A100" s="225" t="s">
        <v>255</v>
      </c>
      <c r="B100" s="225" t="s">
        <v>988</v>
      </c>
      <c r="C100" s="225" t="s">
        <v>815</v>
      </c>
      <c r="D100" s="226">
        <v>24.6</v>
      </c>
      <c r="E100" s="225" t="s">
        <v>815</v>
      </c>
      <c r="F100" s="227">
        <v>82.0</v>
      </c>
      <c r="G100" s="227">
        <v>21.0</v>
      </c>
      <c r="H100" s="227">
        <v>23.0</v>
      </c>
      <c r="I100" s="227">
        <v>44.0</v>
      </c>
      <c r="J100" s="226">
        <v>0.5365853658536586</v>
      </c>
      <c r="K100" s="226">
        <v>45.07317073170732</v>
      </c>
      <c r="L100" s="227">
        <v>209.0</v>
      </c>
      <c r="M100" s="226">
        <v>2.548780487804878</v>
      </c>
      <c r="N100" s="228">
        <v>0.10047846889952153</v>
      </c>
      <c r="O100" s="227">
        <v>5.0</v>
      </c>
      <c r="P100" s="226">
        <v>0.06097560975609756</v>
      </c>
      <c r="Q100" s="225" t="s">
        <v>1206</v>
      </c>
      <c r="R100" s="228">
        <v>0.371</v>
      </c>
      <c r="S100" s="225" t="s">
        <v>1004</v>
      </c>
      <c r="T100" s="227">
        <v>18.0</v>
      </c>
      <c r="U100" s="227">
        <v>255.0</v>
      </c>
      <c r="V100" s="226">
        <v>3.1097560975609757</v>
      </c>
      <c r="W100" s="227">
        <v>49.0</v>
      </c>
      <c r="X100" s="226">
        <v>0.5975609756097561</v>
      </c>
      <c r="Y100" s="227"/>
      <c r="Z100" s="228"/>
      <c r="AA100" s="227"/>
      <c r="AB100" s="228">
        <v>0.363</v>
      </c>
      <c r="AC100" s="225"/>
      <c r="AD100" s="225"/>
      <c r="AE100" s="227"/>
      <c r="AF100" s="225" t="s">
        <v>1207</v>
      </c>
      <c r="AG100" s="229"/>
    </row>
    <row r="101">
      <c r="A101" s="225" t="s">
        <v>255</v>
      </c>
      <c r="B101" s="225" t="s">
        <v>724</v>
      </c>
      <c r="C101" s="225" t="s">
        <v>13</v>
      </c>
      <c r="D101" s="226">
        <v>29.9</v>
      </c>
      <c r="E101" s="225" t="s">
        <v>13</v>
      </c>
      <c r="F101" s="227">
        <v>56.0</v>
      </c>
      <c r="G101" s="227">
        <v>18.0</v>
      </c>
      <c r="H101" s="227">
        <v>22.0</v>
      </c>
      <c r="I101" s="227">
        <v>40.0</v>
      </c>
      <c r="J101" s="226">
        <v>0.7142857142857143</v>
      </c>
      <c r="K101" s="226">
        <v>60.0</v>
      </c>
      <c r="L101" s="227">
        <v>147.0</v>
      </c>
      <c r="M101" s="226">
        <v>2.625</v>
      </c>
      <c r="N101" s="228">
        <v>0.12244897959183673</v>
      </c>
      <c r="O101" s="227">
        <v>17.0</v>
      </c>
      <c r="P101" s="226">
        <v>0.30357142857142855</v>
      </c>
      <c r="Q101" s="225" t="s">
        <v>1208</v>
      </c>
      <c r="R101" s="228">
        <v>0.6809999999999999</v>
      </c>
      <c r="S101" s="225" t="s">
        <v>1209</v>
      </c>
      <c r="T101" s="227">
        <v>34.0</v>
      </c>
      <c r="U101" s="227">
        <v>39.0</v>
      </c>
      <c r="V101" s="226">
        <v>0.6964285714285714</v>
      </c>
      <c r="W101" s="227">
        <v>24.0</v>
      </c>
      <c r="X101" s="226">
        <v>0.42857142857142855</v>
      </c>
      <c r="Y101" s="227"/>
      <c r="Z101" s="228"/>
      <c r="AA101" s="227"/>
      <c r="AB101" s="228">
        <v>0.006999999999999999</v>
      </c>
      <c r="AC101" s="225"/>
      <c r="AD101" s="225"/>
      <c r="AE101" s="227"/>
      <c r="AF101" s="225" t="s">
        <v>1122</v>
      </c>
      <c r="AG101" s="229"/>
    </row>
    <row r="102">
      <c r="A102" s="225" t="s">
        <v>255</v>
      </c>
      <c r="B102" s="225" t="s">
        <v>1211</v>
      </c>
      <c r="C102" s="225" t="s">
        <v>59</v>
      </c>
      <c r="D102" s="226">
        <v>35.2</v>
      </c>
      <c r="E102" s="225" t="s">
        <v>13</v>
      </c>
      <c r="F102" s="227">
        <v>81.0</v>
      </c>
      <c r="G102" s="227">
        <v>14.0</v>
      </c>
      <c r="H102" s="227">
        <v>24.0</v>
      </c>
      <c r="I102" s="227">
        <v>38.0</v>
      </c>
      <c r="J102" s="226">
        <v>0.4691358024691358</v>
      </c>
      <c r="K102" s="226">
        <v>39.407407407407405</v>
      </c>
      <c r="L102" s="227">
        <v>127.0</v>
      </c>
      <c r="M102" s="226">
        <v>1.5679012345679013</v>
      </c>
      <c r="N102" s="228">
        <v>0.11023622047244094</v>
      </c>
      <c r="O102" s="227">
        <v>12.0</v>
      </c>
      <c r="P102" s="226">
        <v>0.14814814814814814</v>
      </c>
      <c r="Q102" s="225" t="s">
        <v>1213</v>
      </c>
      <c r="R102" s="228">
        <v>0.312</v>
      </c>
      <c r="S102" s="225" t="s">
        <v>1214</v>
      </c>
      <c r="T102" s="227">
        <v>64.0</v>
      </c>
      <c r="U102" s="227">
        <v>118.0</v>
      </c>
      <c r="V102" s="226">
        <v>1.4567901234567902</v>
      </c>
      <c r="W102" s="227">
        <v>51.0</v>
      </c>
      <c r="X102" s="226">
        <v>0.6296296296296297</v>
      </c>
      <c r="Y102" s="227"/>
      <c r="Z102" s="228"/>
      <c r="AA102" s="227"/>
      <c r="AB102" s="228">
        <v>0.39899999999999997</v>
      </c>
      <c r="AC102" s="225"/>
      <c r="AD102" s="225"/>
      <c r="AE102" s="227"/>
      <c r="AF102" s="225" t="s">
        <v>543</v>
      </c>
      <c r="AG102" s="229"/>
    </row>
    <row r="103">
      <c r="A103" s="225" t="s">
        <v>255</v>
      </c>
      <c r="B103" s="225" t="s">
        <v>1215</v>
      </c>
      <c r="C103" s="225" t="s">
        <v>59</v>
      </c>
      <c r="D103" s="226">
        <v>25.3</v>
      </c>
      <c r="E103" s="225" t="s">
        <v>13</v>
      </c>
      <c r="F103" s="227">
        <v>62.0</v>
      </c>
      <c r="G103" s="227">
        <v>3.0</v>
      </c>
      <c r="H103" s="227">
        <v>11.0</v>
      </c>
      <c r="I103" s="227">
        <v>14.0</v>
      </c>
      <c r="J103" s="226">
        <v>0.22580645161290322</v>
      </c>
      <c r="K103" s="226">
        <v>18.967741935483872</v>
      </c>
      <c r="L103" s="227">
        <v>67.0</v>
      </c>
      <c r="M103" s="226">
        <v>1.0806451612903225</v>
      </c>
      <c r="N103" s="228">
        <v>0.04477611940298507</v>
      </c>
      <c r="O103" s="227">
        <v>0.0</v>
      </c>
      <c r="P103" s="226">
        <v>0.0</v>
      </c>
      <c r="Q103" s="225" t="s">
        <v>1217</v>
      </c>
      <c r="R103" s="228">
        <v>0.064</v>
      </c>
      <c r="S103" s="225" t="s">
        <v>1218</v>
      </c>
      <c r="T103" s="227">
        <v>21.0</v>
      </c>
      <c r="U103" s="227">
        <v>51.0</v>
      </c>
      <c r="V103" s="226">
        <v>0.8225806451612904</v>
      </c>
      <c r="W103" s="227">
        <v>33.0</v>
      </c>
      <c r="X103" s="226">
        <v>0.532258064516129</v>
      </c>
      <c r="Y103" s="227"/>
      <c r="Z103" s="228"/>
      <c r="AA103" s="227"/>
      <c r="AB103" s="228">
        <v>0.002</v>
      </c>
      <c r="AC103" s="225"/>
      <c r="AD103" s="225"/>
      <c r="AE103" s="227"/>
      <c r="AF103" s="225" t="s">
        <v>240</v>
      </c>
      <c r="AG103" s="229"/>
    </row>
    <row r="104">
      <c r="A104" s="225" t="s">
        <v>54</v>
      </c>
      <c r="B104" s="225" t="s">
        <v>162</v>
      </c>
      <c r="C104" s="225" t="s">
        <v>13</v>
      </c>
      <c r="D104" s="226">
        <v>29.1</v>
      </c>
      <c r="E104" s="225" t="s">
        <v>13</v>
      </c>
      <c r="F104" s="227">
        <v>78.0</v>
      </c>
      <c r="G104" s="227">
        <v>45.0</v>
      </c>
      <c r="H104" s="227">
        <v>44.0</v>
      </c>
      <c r="I104" s="227">
        <v>89.0</v>
      </c>
      <c r="J104" s="226">
        <v>1.141025641025641</v>
      </c>
      <c r="K104" s="226">
        <v>95.84615384615384</v>
      </c>
      <c r="L104" s="227">
        <v>269.0</v>
      </c>
      <c r="M104" s="226">
        <v>3.448717948717949</v>
      </c>
      <c r="N104" s="228">
        <v>0.16728624535315986</v>
      </c>
      <c r="O104" s="227">
        <v>32.0</v>
      </c>
      <c r="P104" s="226">
        <v>0.41025641025641024</v>
      </c>
      <c r="Q104" s="225" t="s">
        <v>1219</v>
      </c>
      <c r="R104" s="228">
        <v>0.773</v>
      </c>
      <c r="S104" s="225" t="s">
        <v>1220</v>
      </c>
      <c r="T104" s="227">
        <v>28.0</v>
      </c>
      <c r="U104" s="227">
        <v>52.0</v>
      </c>
      <c r="V104" s="226">
        <v>0.6666666666666666</v>
      </c>
      <c r="W104" s="227">
        <v>27.0</v>
      </c>
      <c r="X104" s="226">
        <v>0.34615384615384615</v>
      </c>
      <c r="Y104" s="227"/>
      <c r="Z104" s="228"/>
      <c r="AA104" s="227"/>
      <c r="AB104" s="228">
        <v>0.008</v>
      </c>
      <c r="AC104" s="225"/>
      <c r="AD104" s="225"/>
      <c r="AE104" s="227"/>
      <c r="AF104" s="225" t="s">
        <v>1222</v>
      </c>
      <c r="AG104" s="229"/>
    </row>
    <row r="105">
      <c r="A105" s="225" t="s">
        <v>54</v>
      </c>
      <c r="B105" s="225" t="s">
        <v>975</v>
      </c>
      <c r="C105" s="225" t="s">
        <v>815</v>
      </c>
      <c r="D105" s="226">
        <v>31.7</v>
      </c>
      <c r="E105" s="225" t="s">
        <v>815</v>
      </c>
      <c r="F105" s="227">
        <v>76.0</v>
      </c>
      <c r="G105" s="227">
        <v>23.0</v>
      </c>
      <c r="H105" s="227">
        <v>20.0</v>
      </c>
      <c r="I105" s="227">
        <v>43.0</v>
      </c>
      <c r="J105" s="226">
        <v>0.5657894736842105</v>
      </c>
      <c r="K105" s="226">
        <v>47.526315789473685</v>
      </c>
      <c r="L105" s="227">
        <v>167.0</v>
      </c>
      <c r="M105" s="226">
        <v>2.1973684210526314</v>
      </c>
      <c r="N105" s="228">
        <v>0.1377245508982036</v>
      </c>
      <c r="O105" s="227">
        <v>7.0</v>
      </c>
      <c r="P105" s="226">
        <v>0.09210526315789473</v>
      </c>
      <c r="Q105" s="225" t="s">
        <v>1224</v>
      </c>
      <c r="R105" s="228">
        <v>0.33899999999999997</v>
      </c>
      <c r="S105" s="225" t="s">
        <v>991</v>
      </c>
      <c r="T105" s="227">
        <v>48.0</v>
      </c>
      <c r="U105" s="227">
        <v>64.0</v>
      </c>
      <c r="V105" s="226">
        <v>0.8421052631578947</v>
      </c>
      <c r="W105" s="227">
        <v>95.0</v>
      </c>
      <c r="X105" s="226">
        <v>1.25</v>
      </c>
      <c r="Y105" s="227"/>
      <c r="Z105" s="228"/>
      <c r="AA105" s="227"/>
      <c r="AB105" s="228">
        <v>0.013000000000000001</v>
      </c>
      <c r="AC105" s="225"/>
      <c r="AD105" s="225"/>
      <c r="AE105" s="227"/>
      <c r="AF105" s="225" t="s">
        <v>445</v>
      </c>
      <c r="AG105" s="229"/>
    </row>
    <row r="106">
      <c r="A106" s="225" t="s">
        <v>54</v>
      </c>
      <c r="B106" s="225" t="s">
        <v>1226</v>
      </c>
      <c r="C106" s="225" t="s">
        <v>815</v>
      </c>
      <c r="D106" s="226">
        <v>22.5</v>
      </c>
      <c r="E106" s="225" t="s">
        <v>13</v>
      </c>
      <c r="F106" s="227">
        <v>73.0</v>
      </c>
      <c r="G106" s="227">
        <v>12.0</v>
      </c>
      <c r="H106" s="227">
        <v>15.0</v>
      </c>
      <c r="I106" s="227">
        <v>27.0</v>
      </c>
      <c r="J106" s="226">
        <v>0.3698630136986301</v>
      </c>
      <c r="K106" s="226">
        <v>31.06849315068493</v>
      </c>
      <c r="L106" s="227">
        <v>80.0</v>
      </c>
      <c r="M106" s="226">
        <v>1.095890410958904</v>
      </c>
      <c r="N106" s="228">
        <v>0.15</v>
      </c>
      <c r="O106" s="227">
        <v>3.0</v>
      </c>
      <c r="P106" s="226">
        <v>0.0410958904109589</v>
      </c>
      <c r="Q106" s="225" t="s">
        <v>1227</v>
      </c>
      <c r="R106" s="228">
        <v>0.12</v>
      </c>
      <c r="S106" s="225" t="s">
        <v>986</v>
      </c>
      <c r="T106" s="227">
        <v>28.0</v>
      </c>
      <c r="U106" s="227">
        <v>62.0</v>
      </c>
      <c r="V106" s="226">
        <v>0.8493150684931506</v>
      </c>
      <c r="W106" s="227">
        <v>43.0</v>
      </c>
      <c r="X106" s="226">
        <v>0.589041095890411</v>
      </c>
      <c r="Y106" s="227"/>
      <c r="Z106" s="228"/>
      <c r="AA106" s="227"/>
      <c r="AB106" s="228">
        <v>0.055999999999999994</v>
      </c>
      <c r="AC106" s="225"/>
      <c r="AD106" s="225"/>
      <c r="AE106" s="227"/>
      <c r="AF106" s="225" t="s">
        <v>1228</v>
      </c>
      <c r="AG106" s="229"/>
    </row>
    <row r="107">
      <c r="A107" s="225" t="s">
        <v>54</v>
      </c>
      <c r="B107" s="225" t="s">
        <v>998</v>
      </c>
      <c r="C107" s="225" t="s">
        <v>13</v>
      </c>
      <c r="D107" s="226">
        <v>25.7</v>
      </c>
      <c r="E107" s="225" t="s">
        <v>13</v>
      </c>
      <c r="F107" s="227">
        <v>44.0</v>
      </c>
      <c r="G107" s="227">
        <v>5.0</v>
      </c>
      <c r="H107" s="227">
        <v>13.0</v>
      </c>
      <c r="I107" s="227">
        <v>18.0</v>
      </c>
      <c r="J107" s="226">
        <v>0.4090909090909091</v>
      </c>
      <c r="K107" s="226">
        <v>34.36363636363637</v>
      </c>
      <c r="L107" s="227">
        <v>56.0</v>
      </c>
      <c r="M107" s="226">
        <v>1.2727272727272727</v>
      </c>
      <c r="N107" s="228">
        <v>0.08928571428571429</v>
      </c>
      <c r="O107" s="227">
        <v>5.0</v>
      </c>
      <c r="P107" s="226">
        <v>0.11363636363636363</v>
      </c>
      <c r="Q107" s="225" t="s">
        <v>1230</v>
      </c>
      <c r="R107" s="228">
        <v>0.32899999999999996</v>
      </c>
      <c r="S107" s="225" t="s">
        <v>1231</v>
      </c>
      <c r="T107" s="227">
        <v>2.0</v>
      </c>
      <c r="U107" s="227">
        <v>27.0</v>
      </c>
      <c r="V107" s="226">
        <v>0.6136363636363636</v>
      </c>
      <c r="W107" s="227">
        <v>16.0</v>
      </c>
      <c r="X107" s="226">
        <v>0.36363636363636365</v>
      </c>
      <c r="Y107" s="227"/>
      <c r="Z107" s="228"/>
      <c r="AA107" s="227"/>
      <c r="AB107" s="228">
        <v>0.0</v>
      </c>
      <c r="AC107" s="225"/>
      <c r="AD107" s="225"/>
      <c r="AE107" s="227"/>
      <c r="AF107" s="225" t="s">
        <v>1233</v>
      </c>
      <c r="AG107" s="229"/>
    </row>
    <row r="108">
      <c r="A108" s="225" t="s">
        <v>54</v>
      </c>
      <c r="B108" s="225" t="s">
        <v>1234</v>
      </c>
      <c r="C108" s="225" t="s">
        <v>13</v>
      </c>
      <c r="D108" s="226">
        <v>34.6</v>
      </c>
      <c r="E108" s="225" t="s">
        <v>13</v>
      </c>
      <c r="F108" s="227">
        <v>69.0</v>
      </c>
      <c r="G108" s="227">
        <v>20.0</v>
      </c>
      <c r="H108" s="227">
        <v>15.0</v>
      </c>
      <c r="I108" s="227">
        <v>35.0</v>
      </c>
      <c r="J108" s="226">
        <v>0.5072463768115942</v>
      </c>
      <c r="K108" s="226">
        <v>42.608695652173914</v>
      </c>
      <c r="L108" s="227">
        <v>176.0</v>
      </c>
      <c r="M108" s="226">
        <v>2.550724637681159</v>
      </c>
      <c r="N108" s="228">
        <v>0.11363636363636363</v>
      </c>
      <c r="O108" s="227">
        <v>1.0</v>
      </c>
      <c r="P108" s="226">
        <v>0.014492753623188406</v>
      </c>
      <c r="Q108" s="225" t="s">
        <v>1235</v>
      </c>
      <c r="R108" s="228">
        <v>0.273</v>
      </c>
      <c r="S108" s="225" t="s">
        <v>1109</v>
      </c>
      <c r="T108" s="227">
        <v>49.0</v>
      </c>
      <c r="U108" s="227">
        <v>152.0</v>
      </c>
      <c r="V108" s="226">
        <v>2.2028985507246377</v>
      </c>
      <c r="W108" s="227">
        <v>48.0</v>
      </c>
      <c r="X108" s="226">
        <v>0.6956521739130435</v>
      </c>
      <c r="Y108" s="227"/>
      <c r="Z108" s="228"/>
      <c r="AA108" s="227"/>
      <c r="AB108" s="228">
        <v>0.442</v>
      </c>
      <c r="AC108" s="225"/>
      <c r="AD108" s="225"/>
      <c r="AE108" s="227"/>
      <c r="AF108" s="225" t="s">
        <v>1237</v>
      </c>
      <c r="AG108" s="229"/>
    </row>
    <row r="109">
      <c r="A109" s="225" t="s">
        <v>54</v>
      </c>
      <c r="B109" s="225" t="s">
        <v>691</v>
      </c>
      <c r="C109" s="225" t="s">
        <v>59</v>
      </c>
      <c r="D109" s="226">
        <v>29.4</v>
      </c>
      <c r="E109" s="225" t="s">
        <v>13</v>
      </c>
      <c r="F109" s="227">
        <v>70.0</v>
      </c>
      <c r="G109" s="227">
        <v>19.0</v>
      </c>
      <c r="H109" s="227">
        <v>32.0</v>
      </c>
      <c r="I109" s="227">
        <v>51.0</v>
      </c>
      <c r="J109" s="226">
        <v>0.7285714285714285</v>
      </c>
      <c r="K109" s="226">
        <v>61.199999999999996</v>
      </c>
      <c r="L109" s="227">
        <v>194.0</v>
      </c>
      <c r="M109" s="226">
        <v>2.7714285714285714</v>
      </c>
      <c r="N109" s="228">
        <v>0.0979381443298969</v>
      </c>
      <c r="O109" s="227">
        <v>16.0</v>
      </c>
      <c r="P109" s="226">
        <v>0.22857142857142856</v>
      </c>
      <c r="Q109" s="225" t="s">
        <v>995</v>
      </c>
      <c r="R109" s="228">
        <v>0.674</v>
      </c>
      <c r="S109" s="225" t="s">
        <v>1238</v>
      </c>
      <c r="T109" s="227">
        <v>32.0</v>
      </c>
      <c r="U109" s="227">
        <v>106.0</v>
      </c>
      <c r="V109" s="226">
        <v>1.5142857142857142</v>
      </c>
      <c r="W109" s="227">
        <v>34.0</v>
      </c>
      <c r="X109" s="226">
        <v>0.4857142857142857</v>
      </c>
      <c r="Y109" s="227"/>
      <c r="Z109" s="228"/>
      <c r="AA109" s="227"/>
      <c r="AB109" s="228">
        <v>0.39399999999999996</v>
      </c>
      <c r="AC109" s="225"/>
      <c r="AD109" s="225"/>
      <c r="AE109" s="227"/>
      <c r="AF109" s="225" t="s">
        <v>213</v>
      </c>
      <c r="AG109" s="229"/>
    </row>
    <row r="110">
      <c r="A110" s="225" t="s">
        <v>54</v>
      </c>
      <c r="B110" s="225" t="s">
        <v>331</v>
      </c>
      <c r="C110" s="225" t="s">
        <v>13</v>
      </c>
      <c r="D110" s="226">
        <v>25.2</v>
      </c>
      <c r="E110" s="225" t="s">
        <v>13</v>
      </c>
      <c r="F110" s="227">
        <v>76.0</v>
      </c>
      <c r="G110" s="227">
        <v>42.0</v>
      </c>
      <c r="H110" s="227">
        <v>43.0</v>
      </c>
      <c r="I110" s="227">
        <v>85.0</v>
      </c>
      <c r="J110" s="226">
        <v>1.118421052631579</v>
      </c>
      <c r="K110" s="226">
        <v>93.94736842105263</v>
      </c>
      <c r="L110" s="227">
        <v>254.0</v>
      </c>
      <c r="M110" s="226">
        <v>3.3421052631578947</v>
      </c>
      <c r="N110" s="228">
        <v>0.16535433070866143</v>
      </c>
      <c r="O110" s="227">
        <v>30.0</v>
      </c>
      <c r="P110" s="226">
        <v>0.39473684210526316</v>
      </c>
      <c r="Q110" s="225" t="s">
        <v>1240</v>
      </c>
      <c r="R110" s="228">
        <v>0.7559999999999999</v>
      </c>
      <c r="S110" s="225" t="s">
        <v>1241</v>
      </c>
      <c r="T110" s="227">
        <v>30.0</v>
      </c>
      <c r="U110" s="227">
        <v>60.0</v>
      </c>
      <c r="V110" s="226">
        <v>0.7894736842105263</v>
      </c>
      <c r="W110" s="227">
        <v>58.0</v>
      </c>
      <c r="X110" s="226">
        <v>0.7631578947368421</v>
      </c>
      <c r="Y110" s="227"/>
      <c r="Z110" s="228"/>
      <c r="AA110" s="227"/>
      <c r="AB110" s="228">
        <v>0.40700000000000003</v>
      </c>
      <c r="AC110" s="225"/>
      <c r="AD110" s="225"/>
      <c r="AE110" s="227"/>
      <c r="AF110" s="225" t="s">
        <v>819</v>
      </c>
      <c r="AG110" s="229"/>
    </row>
    <row r="111">
      <c r="A111" s="225" t="s">
        <v>54</v>
      </c>
      <c r="B111" s="225" t="s">
        <v>1179</v>
      </c>
      <c r="C111" s="225" t="s">
        <v>815</v>
      </c>
      <c r="D111" s="226">
        <v>24.9</v>
      </c>
      <c r="E111" s="225" t="s">
        <v>815</v>
      </c>
      <c r="F111" s="227">
        <v>68.0</v>
      </c>
      <c r="G111" s="227">
        <v>15.0</v>
      </c>
      <c r="H111" s="227">
        <v>15.0</v>
      </c>
      <c r="I111" s="227">
        <v>30.0</v>
      </c>
      <c r="J111" s="226">
        <v>0.4411764705882353</v>
      </c>
      <c r="K111" s="226">
        <v>37.05882352941176</v>
      </c>
      <c r="L111" s="227">
        <v>104.0</v>
      </c>
      <c r="M111" s="226">
        <v>1.5294117647058822</v>
      </c>
      <c r="N111" s="228">
        <v>0.14423076923076922</v>
      </c>
      <c r="O111" s="227">
        <v>7.0</v>
      </c>
      <c r="P111" s="226">
        <v>0.10294117647058823</v>
      </c>
      <c r="Q111" s="225" t="s">
        <v>1244</v>
      </c>
      <c r="R111" s="228">
        <v>0.424</v>
      </c>
      <c r="S111" s="225" t="s">
        <v>854</v>
      </c>
      <c r="T111" s="227">
        <v>24.0</v>
      </c>
      <c r="U111" s="227">
        <v>80.0</v>
      </c>
      <c r="V111" s="226">
        <v>1.1764705882352942</v>
      </c>
      <c r="W111" s="227">
        <v>39.0</v>
      </c>
      <c r="X111" s="226">
        <v>0.5735294117647058</v>
      </c>
      <c r="Y111" s="227"/>
      <c r="Z111" s="228"/>
      <c r="AA111" s="227"/>
      <c r="AB111" s="228">
        <v>0.005</v>
      </c>
      <c r="AC111" s="225"/>
      <c r="AD111" s="225"/>
      <c r="AE111" s="227"/>
      <c r="AF111" s="225" t="s">
        <v>1246</v>
      </c>
      <c r="AG111" s="229"/>
    </row>
    <row r="112">
      <c r="A112" s="225" t="s">
        <v>109</v>
      </c>
      <c r="B112" s="225" t="s">
        <v>359</v>
      </c>
      <c r="C112" s="225" t="s">
        <v>13</v>
      </c>
      <c r="D112" s="226">
        <v>25.5</v>
      </c>
      <c r="E112" s="225" t="s">
        <v>815</v>
      </c>
      <c r="F112" s="227">
        <v>81.0</v>
      </c>
      <c r="G112" s="227">
        <v>51.0</v>
      </c>
      <c r="H112" s="227">
        <v>37.0</v>
      </c>
      <c r="I112" s="227">
        <v>88.0</v>
      </c>
      <c r="J112" s="226">
        <v>1.0864197530864197</v>
      </c>
      <c r="K112" s="226">
        <v>91.25925925925925</v>
      </c>
      <c r="L112" s="227">
        <v>258.0</v>
      </c>
      <c r="M112" s="226">
        <v>3.185185185185185</v>
      </c>
      <c r="N112" s="228">
        <v>0.19767441860465115</v>
      </c>
      <c r="O112" s="227">
        <v>29.0</v>
      </c>
      <c r="P112" s="226">
        <v>0.35802469135802467</v>
      </c>
      <c r="Q112" s="225" t="s">
        <v>892</v>
      </c>
      <c r="R112" s="228">
        <v>0.6920000000000001</v>
      </c>
      <c r="S112" s="225" t="s">
        <v>1248</v>
      </c>
      <c r="T112" s="227">
        <v>14.0</v>
      </c>
      <c r="U112" s="227">
        <v>50.0</v>
      </c>
      <c r="V112" s="226">
        <v>0.6172839506172839</v>
      </c>
      <c r="W112" s="227">
        <v>21.0</v>
      </c>
      <c r="X112" s="226">
        <v>0.25925925925925924</v>
      </c>
      <c r="Y112" s="227"/>
      <c r="Z112" s="228"/>
      <c r="AA112" s="227"/>
      <c r="AB112" s="228">
        <v>0.001</v>
      </c>
      <c r="AC112" s="225"/>
      <c r="AD112" s="225"/>
      <c r="AE112" s="227"/>
      <c r="AF112" s="225" t="s">
        <v>1250</v>
      </c>
      <c r="AG112" s="229"/>
    </row>
    <row r="113">
      <c r="A113" s="225" t="s">
        <v>109</v>
      </c>
      <c r="B113" s="225" t="s">
        <v>142</v>
      </c>
      <c r="C113" s="225" t="s">
        <v>59</v>
      </c>
      <c r="D113" s="226">
        <v>26.9</v>
      </c>
      <c r="E113" s="225" t="s">
        <v>815</v>
      </c>
      <c r="F113" s="227">
        <v>82.0</v>
      </c>
      <c r="G113" s="227">
        <v>29.0</v>
      </c>
      <c r="H113" s="227">
        <v>72.0</v>
      </c>
      <c r="I113" s="227">
        <v>101.0</v>
      </c>
      <c r="J113" s="226">
        <v>1.2317073170731707</v>
      </c>
      <c r="K113" s="226">
        <v>103.46341463414635</v>
      </c>
      <c r="L113" s="227">
        <v>183.0</v>
      </c>
      <c r="M113" s="226">
        <v>2.231707317073171</v>
      </c>
      <c r="N113" s="228">
        <v>0.15846994535519127</v>
      </c>
      <c r="O113" s="227">
        <v>43.0</v>
      </c>
      <c r="P113" s="226">
        <v>0.524390243902439</v>
      </c>
      <c r="Q113" s="225" t="s">
        <v>1151</v>
      </c>
      <c r="R113" s="228">
        <v>0.732</v>
      </c>
      <c r="S113" s="225" t="s">
        <v>1251</v>
      </c>
      <c r="T113" s="227">
        <v>28.0</v>
      </c>
      <c r="U113" s="227">
        <v>62.0</v>
      </c>
      <c r="V113" s="226">
        <v>0.7560975609756098</v>
      </c>
      <c r="W113" s="227">
        <v>62.0</v>
      </c>
      <c r="X113" s="226">
        <v>0.7560975609756098</v>
      </c>
      <c r="Y113" s="227"/>
      <c r="Z113" s="228"/>
      <c r="AA113" s="227"/>
      <c r="AB113" s="228">
        <v>0.141</v>
      </c>
      <c r="AC113" s="225"/>
      <c r="AD113" s="225"/>
      <c r="AE113" s="227"/>
      <c r="AF113" s="225" t="s">
        <v>1122</v>
      </c>
      <c r="AG113" s="229"/>
    </row>
    <row r="114">
      <c r="A114" s="225" t="s">
        <v>109</v>
      </c>
      <c r="B114" s="225" t="s">
        <v>312</v>
      </c>
      <c r="C114" s="225" t="s">
        <v>815</v>
      </c>
      <c r="D114" s="226">
        <v>22.2</v>
      </c>
      <c r="E114" s="225" t="s">
        <v>13</v>
      </c>
      <c r="F114" s="227">
        <v>82.0</v>
      </c>
      <c r="G114" s="227">
        <v>30.0</v>
      </c>
      <c r="H114" s="227">
        <v>43.0</v>
      </c>
      <c r="I114" s="227">
        <v>73.0</v>
      </c>
      <c r="J114" s="226">
        <v>0.8902439024390244</v>
      </c>
      <c r="K114" s="226">
        <v>74.78048780487805</v>
      </c>
      <c r="L114" s="227">
        <v>180.0</v>
      </c>
      <c r="M114" s="226">
        <v>2.1951219512195124</v>
      </c>
      <c r="N114" s="228">
        <v>0.16666666666666666</v>
      </c>
      <c r="O114" s="227">
        <v>28.0</v>
      </c>
      <c r="P114" s="226">
        <v>0.34146341463414637</v>
      </c>
      <c r="Q114" s="225" t="s">
        <v>1253</v>
      </c>
      <c r="R114" s="228">
        <v>0.68</v>
      </c>
      <c r="S114" s="225" t="s">
        <v>1254</v>
      </c>
      <c r="T114" s="227">
        <v>52.0</v>
      </c>
      <c r="U114" s="227">
        <v>105.0</v>
      </c>
      <c r="V114" s="226">
        <v>1.2804878048780488</v>
      </c>
      <c r="W114" s="227">
        <v>78.0</v>
      </c>
      <c r="X114" s="226">
        <v>0.9512195121951219</v>
      </c>
      <c r="Y114" s="227"/>
      <c r="Z114" s="228"/>
      <c r="AA114" s="227"/>
      <c r="AB114" s="228">
        <v>0.004</v>
      </c>
      <c r="AC114" s="225"/>
      <c r="AD114" s="225"/>
      <c r="AE114" s="227"/>
      <c r="AF114" s="225" t="s">
        <v>1255</v>
      </c>
      <c r="AG114" s="229"/>
    </row>
    <row r="115">
      <c r="A115" s="225" t="s">
        <v>109</v>
      </c>
      <c r="B115" s="225" t="s">
        <v>904</v>
      </c>
      <c r="C115" s="225" t="s">
        <v>13</v>
      </c>
      <c r="D115" s="226">
        <v>25.4</v>
      </c>
      <c r="E115" s="225" t="s">
        <v>13</v>
      </c>
      <c r="F115" s="227">
        <v>42.0</v>
      </c>
      <c r="G115" s="227">
        <v>13.0</v>
      </c>
      <c r="H115" s="227">
        <v>12.0</v>
      </c>
      <c r="I115" s="227">
        <v>25.0</v>
      </c>
      <c r="J115" s="226">
        <v>0.5952380952380952</v>
      </c>
      <c r="K115" s="226">
        <v>50.0</v>
      </c>
      <c r="L115" s="227">
        <v>61.0</v>
      </c>
      <c r="M115" s="226">
        <v>1.4523809523809523</v>
      </c>
      <c r="N115" s="228">
        <v>0.21311475409836064</v>
      </c>
      <c r="O115" s="227">
        <v>3.0</v>
      </c>
      <c r="P115" s="226">
        <v>0.07142857142857142</v>
      </c>
      <c r="Q115" s="225" t="s">
        <v>1257</v>
      </c>
      <c r="R115" s="228">
        <v>0.20199999999999999</v>
      </c>
      <c r="S115" s="225" t="s">
        <v>1258</v>
      </c>
      <c r="T115" s="227">
        <v>10.0</v>
      </c>
      <c r="U115" s="227">
        <v>48.0</v>
      </c>
      <c r="V115" s="226">
        <v>1.1428571428571428</v>
      </c>
      <c r="W115" s="227">
        <v>17.0</v>
      </c>
      <c r="X115" s="226">
        <v>0.40476190476190477</v>
      </c>
      <c r="Y115" s="227"/>
      <c r="Z115" s="228"/>
      <c r="AA115" s="227"/>
      <c r="AB115" s="228">
        <v>0.196</v>
      </c>
      <c r="AC115" s="225"/>
      <c r="AD115" s="225"/>
      <c r="AE115" s="227"/>
      <c r="AF115" s="225" t="s">
        <v>1259</v>
      </c>
      <c r="AG115" s="229"/>
    </row>
    <row r="116">
      <c r="A116" s="225" t="s">
        <v>109</v>
      </c>
      <c r="B116" s="225" t="s">
        <v>1183</v>
      </c>
      <c r="C116" s="225" t="s">
        <v>59</v>
      </c>
      <c r="D116" s="226">
        <v>22.9</v>
      </c>
      <c r="E116" s="225" t="s">
        <v>815</v>
      </c>
      <c r="F116" s="227">
        <v>82.0</v>
      </c>
      <c r="G116" s="227">
        <v>22.0</v>
      </c>
      <c r="H116" s="227">
        <v>15.0</v>
      </c>
      <c r="I116" s="227">
        <v>37.0</v>
      </c>
      <c r="J116" s="226">
        <v>0.45121951219512196</v>
      </c>
      <c r="K116" s="226">
        <v>37.90243902439025</v>
      </c>
      <c r="L116" s="227">
        <v>131.0</v>
      </c>
      <c r="M116" s="226">
        <v>1.5975609756097562</v>
      </c>
      <c r="N116" s="228">
        <v>0.16793893129770993</v>
      </c>
      <c r="O116" s="227">
        <v>1.0</v>
      </c>
      <c r="P116" s="226">
        <v>0.012195121951219513</v>
      </c>
      <c r="Q116" s="225" t="s">
        <v>843</v>
      </c>
      <c r="R116" s="228">
        <v>0.19899999999999998</v>
      </c>
      <c r="S116" s="225" t="s">
        <v>1261</v>
      </c>
      <c r="T116" s="227">
        <v>22.0</v>
      </c>
      <c r="U116" s="227">
        <v>32.0</v>
      </c>
      <c r="V116" s="226">
        <v>0.3902439024390244</v>
      </c>
      <c r="W116" s="227">
        <v>68.0</v>
      </c>
      <c r="X116" s="226">
        <v>0.8292682926829268</v>
      </c>
      <c r="Y116" s="227"/>
      <c r="Z116" s="228"/>
      <c r="AA116" s="227"/>
      <c r="AB116" s="228">
        <v>0.313</v>
      </c>
      <c r="AC116" s="225"/>
      <c r="AD116" s="225"/>
      <c r="AE116" s="227"/>
      <c r="AF116" s="225" t="s">
        <v>486</v>
      </c>
      <c r="AG116" s="229"/>
    </row>
    <row r="117">
      <c r="A117" s="225" t="s">
        <v>109</v>
      </c>
      <c r="B117" s="225" t="s">
        <v>576</v>
      </c>
      <c r="C117" s="225" t="s">
        <v>815</v>
      </c>
      <c r="D117" s="226">
        <v>20.5</v>
      </c>
      <c r="E117" s="225" t="s">
        <v>13</v>
      </c>
      <c r="F117" s="227">
        <v>82.0</v>
      </c>
      <c r="G117" s="227">
        <v>19.0</v>
      </c>
      <c r="H117" s="227">
        <v>43.0</v>
      </c>
      <c r="I117" s="227">
        <v>62.0</v>
      </c>
      <c r="J117" s="226">
        <v>0.7560975609756098</v>
      </c>
      <c r="K117" s="226">
        <v>63.51219512195122</v>
      </c>
      <c r="L117" s="227">
        <v>127.0</v>
      </c>
      <c r="M117" s="226">
        <v>1.548780487804878</v>
      </c>
      <c r="N117" s="228">
        <v>0.14960629921259844</v>
      </c>
      <c r="O117" s="227">
        <v>20.0</v>
      </c>
      <c r="P117" s="226">
        <v>0.24390243902439024</v>
      </c>
      <c r="Q117" s="225" t="s">
        <v>1032</v>
      </c>
      <c r="R117" s="228">
        <v>0.623</v>
      </c>
      <c r="S117" s="225" t="s">
        <v>976</v>
      </c>
      <c r="T117" s="227">
        <v>34.0</v>
      </c>
      <c r="U117" s="227">
        <v>28.0</v>
      </c>
      <c r="V117" s="226">
        <v>0.34146341463414637</v>
      </c>
      <c r="W117" s="227">
        <v>26.0</v>
      </c>
      <c r="X117" s="226">
        <v>0.3170731707317073</v>
      </c>
      <c r="Y117" s="227"/>
      <c r="Z117" s="228"/>
      <c r="AA117" s="227"/>
      <c r="AB117" s="228">
        <v>0.002</v>
      </c>
      <c r="AC117" s="225"/>
      <c r="AD117" s="225"/>
      <c r="AE117" s="227"/>
      <c r="AF117" s="225" t="s">
        <v>1264</v>
      </c>
      <c r="AG117" s="229"/>
    </row>
    <row r="118">
      <c r="A118" s="225" t="s">
        <v>109</v>
      </c>
      <c r="B118" s="225" t="s">
        <v>1192</v>
      </c>
      <c r="C118" s="225" t="s">
        <v>13</v>
      </c>
      <c r="D118" s="226">
        <v>23.3</v>
      </c>
      <c r="E118" s="225" t="s">
        <v>13</v>
      </c>
      <c r="F118" s="227">
        <v>78.0</v>
      </c>
      <c r="G118" s="227">
        <v>12.0</v>
      </c>
      <c r="H118" s="227">
        <v>18.0</v>
      </c>
      <c r="I118" s="227">
        <v>30.0</v>
      </c>
      <c r="J118" s="226">
        <v>0.38461538461538464</v>
      </c>
      <c r="K118" s="226">
        <v>32.30769230769231</v>
      </c>
      <c r="L118" s="227">
        <v>101.0</v>
      </c>
      <c r="M118" s="226">
        <v>1.294871794871795</v>
      </c>
      <c r="N118" s="228">
        <v>0.1188118811881188</v>
      </c>
      <c r="O118" s="227">
        <v>6.0</v>
      </c>
      <c r="P118" s="226">
        <v>0.07692307692307693</v>
      </c>
      <c r="Q118" s="225" t="s">
        <v>1265</v>
      </c>
      <c r="R118" s="228">
        <v>0.34299999999999997</v>
      </c>
      <c r="S118" s="225" t="s">
        <v>1267</v>
      </c>
      <c r="T118" s="227">
        <v>28.0</v>
      </c>
      <c r="U118" s="227">
        <v>170.0</v>
      </c>
      <c r="V118" s="226">
        <v>2.1794871794871793</v>
      </c>
      <c r="W118" s="227">
        <v>43.0</v>
      </c>
      <c r="X118" s="226">
        <v>0.5512820512820513</v>
      </c>
      <c r="Y118" s="227"/>
      <c r="Z118" s="228"/>
      <c r="AA118" s="227"/>
      <c r="AB118" s="228">
        <v>0.002</v>
      </c>
      <c r="AC118" s="225"/>
      <c r="AD118" s="225"/>
      <c r="AE118" s="227"/>
      <c r="AF118" s="225" t="s">
        <v>1268</v>
      </c>
      <c r="AG118" s="229"/>
    </row>
    <row r="119">
      <c r="A119" s="225" t="s">
        <v>153</v>
      </c>
      <c r="B119" s="225" t="s">
        <v>774</v>
      </c>
      <c r="C119" s="225" t="s">
        <v>13</v>
      </c>
      <c r="D119" s="226">
        <v>29.7</v>
      </c>
      <c r="E119" s="225" t="s">
        <v>13</v>
      </c>
      <c r="F119" s="227">
        <v>77.0</v>
      </c>
      <c r="G119" s="227">
        <v>24.0</v>
      </c>
      <c r="H119" s="227">
        <v>20.0</v>
      </c>
      <c r="I119" s="227">
        <v>44.0</v>
      </c>
      <c r="J119" s="226">
        <v>0.5714285714285714</v>
      </c>
      <c r="K119" s="226">
        <v>48.0</v>
      </c>
      <c r="L119" s="227">
        <v>269.0</v>
      </c>
      <c r="M119" s="226">
        <v>3.4935064935064934</v>
      </c>
      <c r="N119" s="228">
        <v>0.08921933085501858</v>
      </c>
      <c r="O119" s="227">
        <v>10.0</v>
      </c>
      <c r="P119" s="226">
        <v>0.12987012987012986</v>
      </c>
      <c r="Q119" s="225" t="s">
        <v>1269</v>
      </c>
      <c r="R119" s="228">
        <v>0.48700000000000004</v>
      </c>
      <c r="S119" s="225" t="s">
        <v>1270</v>
      </c>
      <c r="T119" s="227">
        <v>22.0</v>
      </c>
      <c r="U119" s="227">
        <v>131.0</v>
      </c>
      <c r="V119" s="226">
        <v>1.7012987012987013</v>
      </c>
      <c r="W119" s="227">
        <v>53.0</v>
      </c>
      <c r="X119" s="226">
        <v>0.6883116883116883</v>
      </c>
      <c r="Y119" s="227"/>
      <c r="Z119" s="228"/>
      <c r="AA119" s="227"/>
      <c r="AB119" s="228">
        <v>0.035</v>
      </c>
      <c r="AC119" s="225"/>
      <c r="AD119" s="225"/>
      <c r="AE119" s="227"/>
      <c r="AF119" s="225" t="s">
        <v>1272</v>
      </c>
      <c r="AG119" s="229"/>
    </row>
    <row r="120">
      <c r="A120" s="225" t="s">
        <v>153</v>
      </c>
      <c r="B120" s="225" t="s">
        <v>480</v>
      </c>
      <c r="C120" s="225" t="s">
        <v>59</v>
      </c>
      <c r="D120" s="226">
        <v>27.5</v>
      </c>
      <c r="E120" s="225" t="s">
        <v>13</v>
      </c>
      <c r="F120" s="227">
        <v>82.0</v>
      </c>
      <c r="G120" s="227">
        <v>28.0</v>
      </c>
      <c r="H120" s="227">
        <v>38.0</v>
      </c>
      <c r="I120" s="227">
        <v>66.0</v>
      </c>
      <c r="J120" s="226">
        <v>0.8048780487804879</v>
      </c>
      <c r="K120" s="226">
        <v>67.60975609756098</v>
      </c>
      <c r="L120" s="227">
        <v>211.0</v>
      </c>
      <c r="M120" s="226">
        <v>2.573170731707317</v>
      </c>
      <c r="N120" s="228">
        <v>0.13270142180094788</v>
      </c>
      <c r="O120" s="227">
        <v>23.0</v>
      </c>
      <c r="P120" s="226">
        <v>0.2804878048780488</v>
      </c>
      <c r="Q120" s="225" t="s">
        <v>1274</v>
      </c>
      <c r="R120" s="228">
        <v>0.732</v>
      </c>
      <c r="S120" s="225" t="s">
        <v>1275</v>
      </c>
      <c r="T120" s="227">
        <v>29.0</v>
      </c>
      <c r="U120" s="227">
        <v>58.0</v>
      </c>
      <c r="V120" s="226">
        <v>0.7073170731707317</v>
      </c>
      <c r="W120" s="227">
        <v>62.0</v>
      </c>
      <c r="X120" s="226">
        <v>0.7560975609756098</v>
      </c>
      <c r="Y120" s="227"/>
      <c r="Z120" s="228"/>
      <c r="AA120" s="227"/>
      <c r="AB120" s="228">
        <v>0.42700000000000005</v>
      </c>
      <c r="AC120" s="225"/>
      <c r="AD120" s="225"/>
      <c r="AE120" s="227"/>
      <c r="AF120" s="225" t="s">
        <v>1277</v>
      </c>
      <c r="AG120" s="229"/>
    </row>
    <row r="121">
      <c r="A121" s="225" t="s">
        <v>153</v>
      </c>
      <c r="B121" s="225" t="s">
        <v>1089</v>
      </c>
      <c r="C121" s="225" t="s">
        <v>815</v>
      </c>
      <c r="D121" s="226">
        <v>24.6</v>
      </c>
      <c r="E121" s="225" t="s">
        <v>815</v>
      </c>
      <c r="F121" s="227">
        <v>82.0</v>
      </c>
      <c r="G121" s="227">
        <v>20.0</v>
      </c>
      <c r="H121" s="227">
        <v>22.0</v>
      </c>
      <c r="I121" s="227">
        <v>42.0</v>
      </c>
      <c r="J121" s="226">
        <v>0.5121951219512195</v>
      </c>
      <c r="K121" s="226">
        <v>43.02439024390244</v>
      </c>
      <c r="L121" s="227">
        <v>158.0</v>
      </c>
      <c r="M121" s="226">
        <v>1.9268292682926829</v>
      </c>
      <c r="N121" s="228">
        <v>0.12658227848101267</v>
      </c>
      <c r="O121" s="227">
        <v>7.0</v>
      </c>
      <c r="P121" s="226">
        <v>0.08536585365853659</v>
      </c>
      <c r="Q121" s="225" t="s">
        <v>1265</v>
      </c>
      <c r="R121" s="228">
        <v>0.386</v>
      </c>
      <c r="S121" s="225" t="s">
        <v>1279</v>
      </c>
      <c r="T121" s="227">
        <v>33.0</v>
      </c>
      <c r="U121" s="227">
        <v>33.0</v>
      </c>
      <c r="V121" s="226">
        <v>0.4024390243902439</v>
      </c>
      <c r="W121" s="227">
        <v>47.0</v>
      </c>
      <c r="X121" s="226">
        <v>0.573170731707317</v>
      </c>
      <c r="Y121" s="227"/>
      <c r="Z121" s="228"/>
      <c r="AA121" s="227"/>
      <c r="AB121" s="228">
        <v>0.389</v>
      </c>
      <c r="AC121" s="225"/>
      <c r="AD121" s="225"/>
      <c r="AE121" s="227"/>
      <c r="AF121" s="225" t="s">
        <v>445</v>
      </c>
      <c r="AG121" s="229"/>
    </row>
    <row r="122">
      <c r="A122" s="225" t="s">
        <v>153</v>
      </c>
      <c r="B122" s="225" t="s">
        <v>380</v>
      </c>
      <c r="C122" s="225" t="s">
        <v>13</v>
      </c>
      <c r="D122" s="226">
        <v>27.9</v>
      </c>
      <c r="E122" s="225" t="s">
        <v>13</v>
      </c>
      <c r="F122" s="227">
        <v>82.0</v>
      </c>
      <c r="G122" s="227">
        <v>22.0</v>
      </c>
      <c r="H122" s="227">
        <v>49.0</v>
      </c>
      <c r="I122" s="227">
        <v>71.0</v>
      </c>
      <c r="J122" s="226">
        <v>0.8658536585365854</v>
      </c>
      <c r="K122" s="226">
        <v>72.73170731707317</v>
      </c>
      <c r="L122" s="227">
        <v>178.0</v>
      </c>
      <c r="M122" s="226">
        <v>2.1707317073170733</v>
      </c>
      <c r="N122" s="228">
        <v>0.12359550561797752</v>
      </c>
      <c r="O122" s="227">
        <v>20.0</v>
      </c>
      <c r="P122" s="226">
        <v>0.24390243902439024</v>
      </c>
      <c r="Q122" s="225" t="s">
        <v>1281</v>
      </c>
      <c r="R122" s="228">
        <v>0.7090000000000001</v>
      </c>
      <c r="S122" s="225" t="s">
        <v>1282</v>
      </c>
      <c r="T122" s="227">
        <v>12.0</v>
      </c>
      <c r="U122" s="227">
        <v>74.0</v>
      </c>
      <c r="V122" s="226">
        <v>0.9024390243902439</v>
      </c>
      <c r="W122" s="227">
        <v>24.0</v>
      </c>
      <c r="X122" s="226">
        <v>0.2926829268292683</v>
      </c>
      <c r="Y122" s="227"/>
      <c r="Z122" s="228"/>
      <c r="AA122" s="227"/>
      <c r="AB122" s="228">
        <v>0.184</v>
      </c>
      <c r="AC122" s="225"/>
      <c r="AD122" s="225"/>
      <c r="AE122" s="227"/>
      <c r="AF122" s="225" t="s">
        <v>1122</v>
      </c>
      <c r="AG122" s="229"/>
    </row>
    <row r="123">
      <c r="A123" s="225" t="s">
        <v>153</v>
      </c>
      <c r="B123" s="225" t="s">
        <v>151</v>
      </c>
      <c r="C123" s="225" t="s">
        <v>59</v>
      </c>
      <c r="D123" s="226">
        <v>25.1</v>
      </c>
      <c r="E123" s="225" t="s">
        <v>13</v>
      </c>
      <c r="F123" s="227">
        <v>61.0</v>
      </c>
      <c r="G123" s="227">
        <v>27.0</v>
      </c>
      <c r="H123" s="227">
        <v>50.0</v>
      </c>
      <c r="I123" s="227">
        <v>77.0</v>
      </c>
      <c r="J123" s="226">
        <v>1.2622950819672132</v>
      </c>
      <c r="K123" s="226">
        <v>106.03278688524591</v>
      </c>
      <c r="L123" s="227">
        <v>228.0</v>
      </c>
      <c r="M123" s="226">
        <v>3.737704918032787</v>
      </c>
      <c r="N123" s="228">
        <v>0.11842105263157894</v>
      </c>
      <c r="O123" s="227">
        <v>23.0</v>
      </c>
      <c r="P123" s="226">
        <v>0.3770491803278688</v>
      </c>
      <c r="Q123" s="225" t="s">
        <v>1281</v>
      </c>
      <c r="R123" s="228">
        <v>0.742</v>
      </c>
      <c r="S123" s="225" t="s">
        <v>1284</v>
      </c>
      <c r="T123" s="227">
        <v>10.0</v>
      </c>
      <c r="U123" s="227">
        <v>4.0</v>
      </c>
      <c r="V123" s="226">
        <v>0.06557377049180328</v>
      </c>
      <c r="W123" s="227">
        <v>32.0</v>
      </c>
      <c r="X123" s="226">
        <v>0.5245901639344263</v>
      </c>
      <c r="Y123" s="227"/>
      <c r="Z123" s="228"/>
      <c r="AA123" s="227"/>
      <c r="AB123" s="228">
        <v>0.092</v>
      </c>
      <c r="AC123" s="225"/>
      <c r="AD123" s="225"/>
      <c r="AE123" s="227"/>
      <c r="AF123" s="225" t="s">
        <v>1181</v>
      </c>
      <c r="AG123" s="229"/>
    </row>
    <row r="124">
      <c r="A124" s="225" t="s">
        <v>153</v>
      </c>
      <c r="B124" s="225" t="s">
        <v>1102</v>
      </c>
      <c r="C124" s="225" t="s">
        <v>815</v>
      </c>
      <c r="D124" s="226">
        <v>32.4</v>
      </c>
      <c r="E124" s="225" t="s">
        <v>815</v>
      </c>
      <c r="F124" s="227">
        <v>75.0</v>
      </c>
      <c r="G124" s="227">
        <v>18.0</v>
      </c>
      <c r="H124" s="227">
        <v>25.0</v>
      </c>
      <c r="I124" s="227">
        <v>43.0</v>
      </c>
      <c r="J124" s="226">
        <v>0.5733333333333334</v>
      </c>
      <c r="K124" s="226">
        <v>48.160000000000004</v>
      </c>
      <c r="L124" s="227">
        <v>116.0</v>
      </c>
      <c r="M124" s="226">
        <v>1.5466666666666666</v>
      </c>
      <c r="N124" s="228">
        <v>0.15517241379310345</v>
      </c>
      <c r="O124" s="227">
        <v>8.0</v>
      </c>
      <c r="P124" s="226">
        <v>0.10666666666666667</v>
      </c>
      <c r="Q124" s="225" t="s">
        <v>1213</v>
      </c>
      <c r="R124" s="228">
        <v>0.358</v>
      </c>
      <c r="S124" s="225" t="s">
        <v>1286</v>
      </c>
      <c r="T124" s="227">
        <v>22.0</v>
      </c>
      <c r="U124" s="227">
        <v>25.0</v>
      </c>
      <c r="V124" s="226">
        <v>0.3333333333333333</v>
      </c>
      <c r="W124" s="227">
        <v>37.0</v>
      </c>
      <c r="X124" s="226">
        <v>0.49333333333333335</v>
      </c>
      <c r="Y124" s="227"/>
      <c r="Z124" s="228"/>
      <c r="AA124" s="227"/>
      <c r="AB124" s="228">
        <v>0.429</v>
      </c>
      <c r="AC124" s="225"/>
      <c r="AD124" s="225"/>
      <c r="AE124" s="227"/>
      <c r="AF124" s="225" t="s">
        <v>554</v>
      </c>
      <c r="AG124" s="229"/>
    </row>
    <row r="125">
      <c r="A125" s="225" t="s">
        <v>153</v>
      </c>
      <c r="B125" s="225" t="s">
        <v>1153</v>
      </c>
      <c r="C125" s="225" t="s">
        <v>13</v>
      </c>
      <c r="D125" s="226">
        <v>25.3</v>
      </c>
      <c r="E125" s="225" t="s">
        <v>13</v>
      </c>
      <c r="F125" s="227">
        <v>66.0</v>
      </c>
      <c r="G125" s="227">
        <v>13.0</v>
      </c>
      <c r="H125" s="227">
        <v>18.0</v>
      </c>
      <c r="I125" s="227">
        <v>31.0</v>
      </c>
      <c r="J125" s="226">
        <v>0.4696969696969697</v>
      </c>
      <c r="K125" s="226">
        <v>39.45454545454545</v>
      </c>
      <c r="L125" s="227">
        <v>149.0</v>
      </c>
      <c r="M125" s="226">
        <v>2.257575757575758</v>
      </c>
      <c r="N125" s="228">
        <v>0.087248322147651</v>
      </c>
      <c r="O125" s="227">
        <v>5.0</v>
      </c>
      <c r="P125" s="226">
        <v>0.07575757575757576</v>
      </c>
      <c r="Q125" s="225" t="s">
        <v>1288</v>
      </c>
      <c r="R125" s="228">
        <v>0.24600000000000002</v>
      </c>
      <c r="S125" s="225" t="s">
        <v>854</v>
      </c>
      <c r="T125" s="227">
        <v>26.0</v>
      </c>
      <c r="U125" s="227">
        <v>58.0</v>
      </c>
      <c r="V125" s="226">
        <v>0.8787878787878788</v>
      </c>
      <c r="W125" s="227">
        <v>18.0</v>
      </c>
      <c r="X125" s="226">
        <v>0.2727272727272727</v>
      </c>
      <c r="Y125" s="227"/>
      <c r="Z125" s="228"/>
      <c r="AA125" s="227"/>
      <c r="AB125" s="228">
        <v>0.001</v>
      </c>
      <c r="AC125" s="225"/>
      <c r="AD125" s="225"/>
      <c r="AE125" s="227"/>
      <c r="AF125" s="225" t="s">
        <v>1290</v>
      </c>
      <c r="AG125" s="229"/>
    </row>
    <row r="126">
      <c r="A126" s="225" t="s">
        <v>196</v>
      </c>
      <c r="B126" s="225" t="s">
        <v>705</v>
      </c>
      <c r="C126" s="225" t="s">
        <v>13</v>
      </c>
      <c r="D126" s="226">
        <v>36.4</v>
      </c>
      <c r="E126" s="225" t="s">
        <v>815</v>
      </c>
      <c r="F126" s="227">
        <v>82.0</v>
      </c>
      <c r="G126" s="227">
        <v>42.0</v>
      </c>
      <c r="H126" s="227">
        <v>24.0</v>
      </c>
      <c r="I126" s="227">
        <v>66.0</v>
      </c>
      <c r="J126" s="226">
        <v>0.8048780487804879</v>
      </c>
      <c r="K126" s="226">
        <v>67.60975609756098</v>
      </c>
      <c r="L126" s="227">
        <v>206.0</v>
      </c>
      <c r="M126" s="226">
        <v>2.5121951219512195</v>
      </c>
      <c r="N126" s="228">
        <v>0.20388349514563106</v>
      </c>
      <c r="O126" s="227">
        <v>26.0</v>
      </c>
      <c r="P126" s="226">
        <v>0.3170731707317073</v>
      </c>
      <c r="Q126" s="225" t="s">
        <v>816</v>
      </c>
      <c r="R126" s="228">
        <v>0.672</v>
      </c>
      <c r="S126" s="225" t="s">
        <v>1291</v>
      </c>
      <c r="T126" s="227">
        <v>58.0</v>
      </c>
      <c r="U126" s="227">
        <v>89.0</v>
      </c>
      <c r="V126" s="226">
        <v>1.0853658536585367</v>
      </c>
      <c r="W126" s="227">
        <v>36.0</v>
      </c>
      <c r="X126" s="226">
        <v>0.43902439024390244</v>
      </c>
      <c r="Y126" s="227"/>
      <c r="Z126" s="228"/>
      <c r="AA126" s="227"/>
      <c r="AB126" s="228">
        <v>0.005</v>
      </c>
      <c r="AC126" s="225"/>
      <c r="AD126" s="225"/>
      <c r="AE126" s="227"/>
      <c r="AF126" s="225" t="s">
        <v>1181</v>
      </c>
      <c r="AG126" s="229"/>
    </row>
    <row r="127">
      <c r="A127" s="225" t="s">
        <v>196</v>
      </c>
      <c r="B127" s="225" t="s">
        <v>553</v>
      </c>
      <c r="C127" s="225" t="s">
        <v>59</v>
      </c>
      <c r="D127" s="226">
        <v>35.4</v>
      </c>
      <c r="E127" s="225" t="s">
        <v>13</v>
      </c>
      <c r="F127" s="227">
        <v>81.0</v>
      </c>
      <c r="G127" s="227">
        <v>25.0</v>
      </c>
      <c r="H127" s="227">
        <v>49.0</v>
      </c>
      <c r="I127" s="227">
        <v>74.0</v>
      </c>
      <c r="J127" s="226">
        <v>0.9135802469135802</v>
      </c>
      <c r="K127" s="226">
        <v>76.74074074074073</v>
      </c>
      <c r="L127" s="227">
        <v>154.0</v>
      </c>
      <c r="M127" s="226">
        <v>1.9012345679012346</v>
      </c>
      <c r="N127" s="228">
        <v>0.16233766233766234</v>
      </c>
      <c r="O127" s="227">
        <v>20.0</v>
      </c>
      <c r="P127" s="226">
        <v>0.24691358024691357</v>
      </c>
      <c r="Q127" s="225" t="s">
        <v>1294</v>
      </c>
      <c r="R127" s="228">
        <v>0.612</v>
      </c>
      <c r="S127" s="225" t="s">
        <v>1295</v>
      </c>
      <c r="T127" s="227">
        <v>22.0</v>
      </c>
      <c r="U127" s="227">
        <v>17.0</v>
      </c>
      <c r="V127" s="226">
        <v>0.20987654320987653</v>
      </c>
      <c r="W127" s="227">
        <v>66.0</v>
      </c>
      <c r="X127" s="226">
        <v>0.8148148148148148</v>
      </c>
      <c r="Y127" s="227"/>
      <c r="Z127" s="228"/>
      <c r="AA127" s="227"/>
      <c r="AB127" s="228">
        <v>0.384</v>
      </c>
      <c r="AC127" s="225"/>
      <c r="AD127" s="225"/>
      <c r="AE127" s="227"/>
      <c r="AF127" s="225" t="s">
        <v>308</v>
      </c>
      <c r="AG127" s="229"/>
    </row>
    <row r="128">
      <c r="A128" s="225" t="s">
        <v>196</v>
      </c>
      <c r="B128" s="225" t="s">
        <v>737</v>
      </c>
      <c r="C128" s="225" t="s">
        <v>815</v>
      </c>
      <c r="D128" s="226">
        <v>24.4</v>
      </c>
      <c r="E128" s="225" t="s">
        <v>815</v>
      </c>
      <c r="F128" s="227">
        <v>82.0</v>
      </c>
      <c r="G128" s="227">
        <v>20.0</v>
      </c>
      <c r="H128" s="227">
        <v>21.0</v>
      </c>
      <c r="I128" s="227">
        <v>41.0</v>
      </c>
      <c r="J128" s="226">
        <v>0.5</v>
      </c>
      <c r="K128" s="226">
        <v>42.0</v>
      </c>
      <c r="L128" s="227">
        <v>147.0</v>
      </c>
      <c r="M128" s="226">
        <v>1.7926829268292683</v>
      </c>
      <c r="N128" s="228">
        <v>0.1360544217687075</v>
      </c>
      <c r="O128" s="227">
        <v>5.0</v>
      </c>
      <c r="P128" s="226">
        <v>0.06097560975609756</v>
      </c>
      <c r="Q128" s="225" t="s">
        <v>1297</v>
      </c>
      <c r="R128" s="228">
        <v>0.235</v>
      </c>
      <c r="S128" s="225" t="s">
        <v>1298</v>
      </c>
      <c r="T128" s="227">
        <v>22.0</v>
      </c>
      <c r="U128" s="227">
        <v>78.0</v>
      </c>
      <c r="V128" s="226">
        <v>0.9512195121951219</v>
      </c>
      <c r="W128" s="227">
        <v>21.0</v>
      </c>
      <c r="X128" s="226">
        <v>0.25609756097560976</v>
      </c>
      <c r="Y128" s="227"/>
      <c r="Z128" s="228"/>
      <c r="AA128" s="227"/>
      <c r="AB128" s="228">
        <v>0.039</v>
      </c>
      <c r="AC128" s="225"/>
      <c r="AD128" s="225"/>
      <c r="AE128" s="227"/>
      <c r="AF128" s="225" t="s">
        <v>1101</v>
      </c>
      <c r="AG128" s="229"/>
    </row>
    <row r="129">
      <c r="A129" s="225" t="s">
        <v>196</v>
      </c>
      <c r="B129" s="225" t="s">
        <v>428</v>
      </c>
      <c r="C129" s="225" t="s">
        <v>13</v>
      </c>
      <c r="D129" s="226">
        <v>31.8</v>
      </c>
      <c r="E129" s="225" t="s">
        <v>815</v>
      </c>
      <c r="F129" s="227">
        <v>82.0</v>
      </c>
      <c r="G129" s="227">
        <v>40.0</v>
      </c>
      <c r="H129" s="227">
        <v>35.0</v>
      </c>
      <c r="I129" s="227">
        <v>75.0</v>
      </c>
      <c r="J129" s="226">
        <v>0.9146341463414634</v>
      </c>
      <c r="K129" s="226">
        <v>76.82926829268293</v>
      </c>
      <c r="L129" s="227">
        <v>246.0</v>
      </c>
      <c r="M129" s="226">
        <v>3.0</v>
      </c>
      <c r="N129" s="228">
        <v>0.16260162601626016</v>
      </c>
      <c r="O129" s="227">
        <v>26.0</v>
      </c>
      <c r="P129" s="226">
        <v>0.3170731707317073</v>
      </c>
      <c r="Q129" s="225" t="s">
        <v>1300</v>
      </c>
      <c r="R129" s="228">
        <v>0.638</v>
      </c>
      <c r="S129" s="225" t="s">
        <v>943</v>
      </c>
      <c r="T129" s="227">
        <v>34.0</v>
      </c>
      <c r="U129" s="227">
        <v>124.0</v>
      </c>
      <c r="V129" s="226">
        <v>1.5121951219512195</v>
      </c>
      <c r="W129" s="227">
        <v>33.0</v>
      </c>
      <c r="X129" s="226">
        <v>0.4024390243902439</v>
      </c>
      <c r="Y129" s="227"/>
      <c r="Z129" s="228"/>
      <c r="AA129" s="227"/>
      <c r="AB129" s="228">
        <v>0.002</v>
      </c>
      <c r="AC129" s="225"/>
      <c r="AD129" s="225"/>
      <c r="AE129" s="227"/>
      <c r="AF129" s="225" t="s">
        <v>79</v>
      </c>
      <c r="AG129" s="229"/>
    </row>
    <row r="130">
      <c r="A130" s="225" t="s">
        <v>196</v>
      </c>
      <c r="B130" s="225" t="s">
        <v>1232</v>
      </c>
      <c r="C130" s="225" t="s">
        <v>59</v>
      </c>
      <c r="D130" s="226">
        <v>21.4</v>
      </c>
      <c r="E130" s="225" t="s">
        <v>815</v>
      </c>
      <c r="F130" s="227">
        <v>71.0</v>
      </c>
      <c r="G130" s="227">
        <v>17.0</v>
      </c>
      <c r="H130" s="227">
        <v>13.0</v>
      </c>
      <c r="I130" s="227">
        <v>30.0</v>
      </c>
      <c r="J130" s="226">
        <v>0.4225352112676056</v>
      </c>
      <c r="K130" s="226">
        <v>35.49295774647887</v>
      </c>
      <c r="L130" s="227">
        <v>103.0</v>
      </c>
      <c r="M130" s="226">
        <v>1.4507042253521127</v>
      </c>
      <c r="N130" s="228">
        <v>0.1650485436893204</v>
      </c>
      <c r="O130" s="227">
        <v>8.0</v>
      </c>
      <c r="P130" s="226">
        <v>0.11267605633802817</v>
      </c>
      <c r="Q130" s="225" t="s">
        <v>1301</v>
      </c>
      <c r="R130" s="228">
        <v>0.335</v>
      </c>
      <c r="S130" s="225" t="s">
        <v>1302</v>
      </c>
      <c r="T130" s="227">
        <v>14.0</v>
      </c>
      <c r="U130" s="227">
        <v>53.0</v>
      </c>
      <c r="V130" s="226">
        <v>0.7464788732394366</v>
      </c>
      <c r="W130" s="227">
        <v>25.0</v>
      </c>
      <c r="X130" s="226">
        <v>0.352112676056338</v>
      </c>
      <c r="Y130" s="227"/>
      <c r="Z130" s="228"/>
      <c r="AA130" s="227"/>
      <c r="AB130" s="228">
        <v>0.001</v>
      </c>
      <c r="AC130" s="225"/>
      <c r="AD130" s="225"/>
      <c r="AE130" s="227"/>
      <c r="AF130" s="225" t="s">
        <v>1268</v>
      </c>
      <c r="AG130" s="229"/>
    </row>
    <row r="131">
      <c r="A131" s="225" t="s">
        <v>196</v>
      </c>
      <c r="B131" s="225" t="s">
        <v>651</v>
      </c>
      <c r="C131" s="225" t="s">
        <v>815</v>
      </c>
      <c r="D131" s="226">
        <v>24.3</v>
      </c>
      <c r="E131" s="225" t="s">
        <v>815</v>
      </c>
      <c r="F131" s="227">
        <v>81.0</v>
      </c>
      <c r="G131" s="227">
        <v>12.0</v>
      </c>
      <c r="H131" s="227">
        <v>44.0</v>
      </c>
      <c r="I131" s="227">
        <v>56.0</v>
      </c>
      <c r="J131" s="226">
        <v>0.691358024691358</v>
      </c>
      <c r="K131" s="226">
        <v>58.07407407407407</v>
      </c>
      <c r="L131" s="227">
        <v>176.0</v>
      </c>
      <c r="M131" s="226">
        <v>2.1728395061728394</v>
      </c>
      <c r="N131" s="228">
        <v>0.06818181818181818</v>
      </c>
      <c r="O131" s="227">
        <v>17.0</v>
      </c>
      <c r="P131" s="226">
        <v>0.20987654320987653</v>
      </c>
      <c r="Q131" s="225" t="s">
        <v>954</v>
      </c>
      <c r="R131" s="228">
        <v>0.456</v>
      </c>
      <c r="S131" s="225" t="s">
        <v>1304</v>
      </c>
      <c r="T131" s="227">
        <v>28.0</v>
      </c>
      <c r="U131" s="227">
        <v>21.0</v>
      </c>
      <c r="V131" s="226">
        <v>0.25925925925925924</v>
      </c>
      <c r="W131" s="227">
        <v>21.0</v>
      </c>
      <c r="X131" s="226">
        <v>0.25925925925925924</v>
      </c>
      <c r="Y131" s="227"/>
      <c r="Z131" s="228"/>
      <c r="AA131" s="227"/>
      <c r="AB131" s="228">
        <v>0.002</v>
      </c>
      <c r="AC131" s="225"/>
      <c r="AD131" s="225"/>
      <c r="AE131" s="227"/>
      <c r="AF131" s="225" t="s">
        <v>554</v>
      </c>
      <c r="AG131" s="229"/>
    </row>
    <row r="132">
      <c r="A132" s="225" t="s">
        <v>196</v>
      </c>
      <c r="B132" s="225" t="s">
        <v>1111</v>
      </c>
      <c r="C132" s="225" t="s">
        <v>13</v>
      </c>
      <c r="D132" s="226">
        <v>29.8</v>
      </c>
      <c r="E132" s="225" t="s">
        <v>13</v>
      </c>
      <c r="F132" s="227">
        <v>73.0</v>
      </c>
      <c r="G132" s="227">
        <v>9.0</v>
      </c>
      <c r="H132" s="227">
        <v>15.0</v>
      </c>
      <c r="I132" s="227">
        <v>24.0</v>
      </c>
      <c r="J132" s="226">
        <v>0.3287671232876712</v>
      </c>
      <c r="K132" s="226">
        <v>27.61643835616438</v>
      </c>
      <c r="L132" s="227">
        <v>153.0</v>
      </c>
      <c r="M132" s="226">
        <v>2.095890410958904</v>
      </c>
      <c r="N132" s="228">
        <v>0.058823529411764705</v>
      </c>
      <c r="O132" s="227">
        <v>0.0</v>
      </c>
      <c r="P132" s="226">
        <v>0.0</v>
      </c>
      <c r="Q132" s="225" t="s">
        <v>1305</v>
      </c>
      <c r="R132" s="228">
        <v>0.14300000000000002</v>
      </c>
      <c r="S132" s="225" t="s">
        <v>1306</v>
      </c>
      <c r="T132" s="227">
        <v>13.0</v>
      </c>
      <c r="U132" s="227">
        <v>159.0</v>
      </c>
      <c r="V132" s="226">
        <v>2.1780821917808217</v>
      </c>
      <c r="W132" s="227">
        <v>25.0</v>
      </c>
      <c r="X132" s="226">
        <v>0.3424657534246575</v>
      </c>
      <c r="Y132" s="227"/>
      <c r="Z132" s="228"/>
      <c r="AA132" s="227"/>
      <c r="AB132" s="228">
        <v>0.008</v>
      </c>
      <c r="AC132" s="225"/>
      <c r="AD132" s="225"/>
      <c r="AE132" s="227"/>
      <c r="AF132" s="225" t="s">
        <v>445</v>
      </c>
      <c r="AG132" s="229"/>
    </row>
    <row r="133">
      <c r="A133" s="225" t="s">
        <v>196</v>
      </c>
      <c r="B133" s="225" t="s">
        <v>1069</v>
      </c>
      <c r="C133" s="225" t="s">
        <v>815</v>
      </c>
      <c r="D133" s="226">
        <v>35.5</v>
      </c>
      <c r="E133" s="225" t="s">
        <v>815</v>
      </c>
      <c r="F133" s="227">
        <v>62.0</v>
      </c>
      <c r="G133" s="227">
        <v>12.0</v>
      </c>
      <c r="H133" s="227">
        <v>19.0</v>
      </c>
      <c r="I133" s="227">
        <v>31.0</v>
      </c>
      <c r="J133" s="226">
        <v>0.5</v>
      </c>
      <c r="K133" s="226">
        <v>42.0</v>
      </c>
      <c r="L133" s="227">
        <v>132.0</v>
      </c>
      <c r="M133" s="226">
        <v>2.129032258064516</v>
      </c>
      <c r="N133" s="228">
        <v>0.09090909090909091</v>
      </c>
      <c r="O133" s="227">
        <v>8.0</v>
      </c>
      <c r="P133" s="226">
        <v>0.12903225806451613</v>
      </c>
      <c r="Q133" s="225" t="s">
        <v>830</v>
      </c>
      <c r="R133" s="228">
        <v>0.5720000000000001</v>
      </c>
      <c r="S133" s="225" t="s">
        <v>1308</v>
      </c>
      <c r="T133" s="227">
        <v>30.0</v>
      </c>
      <c r="U133" s="227">
        <v>75.0</v>
      </c>
      <c r="V133" s="226">
        <v>1.2096774193548387</v>
      </c>
      <c r="W133" s="227">
        <v>9.0</v>
      </c>
      <c r="X133" s="226">
        <v>0.14516129032258066</v>
      </c>
      <c r="Y133" s="227"/>
      <c r="Z133" s="228"/>
      <c r="AA133" s="227"/>
      <c r="AB133" s="228">
        <v>0.0</v>
      </c>
      <c r="AC133" s="225"/>
      <c r="AD133" s="225"/>
      <c r="AE133" s="227"/>
      <c r="AF133" s="225" t="s">
        <v>864</v>
      </c>
      <c r="AG133" s="229"/>
    </row>
    <row r="134">
      <c r="A134" s="225" t="s">
        <v>65</v>
      </c>
      <c r="B134" s="225" t="s">
        <v>865</v>
      </c>
      <c r="C134" s="225" t="s">
        <v>815</v>
      </c>
      <c r="D134" s="226">
        <v>21.4</v>
      </c>
      <c r="E134" s="225" t="s">
        <v>815</v>
      </c>
      <c r="F134" s="227">
        <v>65.0</v>
      </c>
      <c r="G134" s="227">
        <v>13.0</v>
      </c>
      <c r="H134" s="227">
        <v>17.0</v>
      </c>
      <c r="I134" s="227">
        <v>30.0</v>
      </c>
      <c r="J134" s="226">
        <v>0.46153846153846156</v>
      </c>
      <c r="K134" s="226">
        <v>38.769230769230774</v>
      </c>
      <c r="L134" s="227">
        <v>79.0</v>
      </c>
      <c r="M134" s="226">
        <v>1.2153846153846153</v>
      </c>
      <c r="N134" s="228">
        <v>0.16455696202531644</v>
      </c>
      <c r="O134" s="227">
        <v>11.0</v>
      </c>
      <c r="P134" s="226">
        <v>0.16923076923076924</v>
      </c>
      <c r="Q134" s="225" t="s">
        <v>1310</v>
      </c>
      <c r="R134" s="228">
        <v>0.435</v>
      </c>
      <c r="S134" s="225" t="s">
        <v>1311</v>
      </c>
      <c r="T134" s="227">
        <v>22.0</v>
      </c>
      <c r="U134" s="227">
        <v>17.0</v>
      </c>
      <c r="V134" s="226">
        <v>0.26153846153846155</v>
      </c>
      <c r="W134" s="227">
        <v>34.0</v>
      </c>
      <c r="X134" s="226">
        <v>0.5230769230769231</v>
      </c>
      <c r="Y134" s="227"/>
      <c r="Z134" s="228"/>
      <c r="AA134" s="227"/>
      <c r="AB134" s="228">
        <v>0.0</v>
      </c>
      <c r="AC134" s="225"/>
      <c r="AD134" s="225"/>
      <c r="AE134" s="227"/>
      <c r="AF134" s="225" t="s">
        <v>1313</v>
      </c>
      <c r="AG134" s="229"/>
    </row>
    <row r="135">
      <c r="A135" s="225" t="s">
        <v>65</v>
      </c>
      <c r="B135" s="225" t="s">
        <v>693</v>
      </c>
      <c r="C135" s="225" t="s">
        <v>59</v>
      </c>
      <c r="D135" s="226">
        <v>31.2</v>
      </c>
      <c r="E135" s="225" t="s">
        <v>13</v>
      </c>
      <c r="F135" s="227">
        <v>68.0</v>
      </c>
      <c r="G135" s="227">
        <v>31.0</v>
      </c>
      <c r="H135" s="227">
        <v>26.0</v>
      </c>
      <c r="I135" s="227">
        <v>57.0</v>
      </c>
      <c r="J135" s="226">
        <v>0.8382352941176471</v>
      </c>
      <c r="K135" s="226">
        <v>70.41176470588235</v>
      </c>
      <c r="L135" s="227">
        <v>226.0</v>
      </c>
      <c r="M135" s="226">
        <v>3.323529411764706</v>
      </c>
      <c r="N135" s="228">
        <v>0.13716814159292035</v>
      </c>
      <c r="O135" s="227">
        <v>16.0</v>
      </c>
      <c r="P135" s="226">
        <v>0.23529411764705882</v>
      </c>
      <c r="Q135" s="225" t="s">
        <v>1314</v>
      </c>
      <c r="R135" s="228">
        <v>0.6890000000000001</v>
      </c>
      <c r="S135" s="225" t="s">
        <v>1315</v>
      </c>
      <c r="T135" s="227">
        <v>40.0</v>
      </c>
      <c r="U135" s="227">
        <v>51.0</v>
      </c>
      <c r="V135" s="226">
        <v>0.75</v>
      </c>
      <c r="W135" s="227">
        <v>38.0</v>
      </c>
      <c r="X135" s="226">
        <v>0.5588235294117647</v>
      </c>
      <c r="Y135" s="227"/>
      <c r="Z135" s="228"/>
      <c r="AA135" s="227"/>
      <c r="AB135" s="228">
        <v>0.456</v>
      </c>
      <c r="AC135" s="225"/>
      <c r="AD135" s="225"/>
      <c r="AE135" s="227"/>
      <c r="AF135" s="225" t="s">
        <v>79</v>
      </c>
      <c r="AG135" s="229"/>
    </row>
    <row r="136">
      <c r="A136" s="225" t="s">
        <v>65</v>
      </c>
      <c r="B136" s="225" t="s">
        <v>1317</v>
      </c>
      <c r="C136" s="225" t="s">
        <v>815</v>
      </c>
      <c r="D136" s="226">
        <v>24.6</v>
      </c>
      <c r="E136" s="225" t="s">
        <v>13</v>
      </c>
      <c r="F136" s="227">
        <v>82.0</v>
      </c>
      <c r="G136" s="227">
        <v>22.0</v>
      </c>
      <c r="H136" s="227">
        <v>9.0</v>
      </c>
      <c r="I136" s="227">
        <v>31.0</v>
      </c>
      <c r="J136" s="226">
        <v>0.3780487804878049</v>
      </c>
      <c r="K136" s="226">
        <v>31.75609756097561</v>
      </c>
      <c r="L136" s="227">
        <v>174.0</v>
      </c>
      <c r="M136" s="226">
        <v>2.1219512195121952</v>
      </c>
      <c r="N136" s="228">
        <v>0.12643678160919541</v>
      </c>
      <c r="O136" s="227">
        <v>4.0</v>
      </c>
      <c r="P136" s="226">
        <v>0.04878048780487805</v>
      </c>
      <c r="Q136" s="225" t="s">
        <v>918</v>
      </c>
      <c r="R136" s="228">
        <v>0.354</v>
      </c>
      <c r="S136" s="225" t="s">
        <v>1304</v>
      </c>
      <c r="T136" s="227">
        <v>18.0</v>
      </c>
      <c r="U136" s="227">
        <v>247.0</v>
      </c>
      <c r="V136" s="226">
        <v>3.0121951219512195</v>
      </c>
      <c r="W136" s="227">
        <v>54.0</v>
      </c>
      <c r="X136" s="226">
        <v>0.6585365853658537</v>
      </c>
      <c r="Y136" s="227"/>
      <c r="Z136" s="228"/>
      <c r="AA136" s="227"/>
      <c r="AB136" s="228">
        <v>0.133</v>
      </c>
      <c r="AC136" s="225"/>
      <c r="AD136" s="225"/>
      <c r="AE136" s="227"/>
      <c r="AF136" s="225" t="s">
        <v>1318</v>
      </c>
      <c r="AG136" s="229"/>
    </row>
    <row r="137">
      <c r="A137" s="225" t="s">
        <v>65</v>
      </c>
      <c r="B137" s="225" t="s">
        <v>1135</v>
      </c>
      <c r="C137" s="225" t="s">
        <v>13</v>
      </c>
      <c r="D137" s="226">
        <v>34.8</v>
      </c>
      <c r="E137" s="225" t="s">
        <v>13</v>
      </c>
      <c r="F137" s="227">
        <v>80.0</v>
      </c>
      <c r="G137" s="227">
        <v>18.0</v>
      </c>
      <c r="H137" s="227">
        <v>21.0</v>
      </c>
      <c r="I137" s="227">
        <v>39.0</v>
      </c>
      <c r="J137" s="226">
        <v>0.4875</v>
      </c>
      <c r="K137" s="226">
        <v>40.949999999999996</v>
      </c>
      <c r="L137" s="227">
        <v>119.0</v>
      </c>
      <c r="M137" s="226">
        <v>1.4875</v>
      </c>
      <c r="N137" s="228">
        <v>0.15126050420168066</v>
      </c>
      <c r="O137" s="227">
        <v>9.0</v>
      </c>
      <c r="P137" s="226">
        <v>0.1125</v>
      </c>
      <c r="Q137" s="225" t="s">
        <v>1193</v>
      </c>
      <c r="R137" s="228">
        <v>0.465</v>
      </c>
      <c r="S137" s="225" t="s">
        <v>1320</v>
      </c>
      <c r="T137" s="227">
        <v>68.0</v>
      </c>
      <c r="U137" s="227">
        <v>180.0</v>
      </c>
      <c r="V137" s="226">
        <v>2.25</v>
      </c>
      <c r="W137" s="227">
        <v>41.0</v>
      </c>
      <c r="X137" s="226">
        <v>0.5125</v>
      </c>
      <c r="Y137" s="227"/>
      <c r="Z137" s="228"/>
      <c r="AA137" s="227"/>
      <c r="AB137" s="228">
        <v>0.022000000000000002</v>
      </c>
      <c r="AC137" s="225"/>
      <c r="AD137" s="225"/>
      <c r="AE137" s="227"/>
      <c r="AF137" s="225" t="s">
        <v>288</v>
      </c>
      <c r="AG137" s="229"/>
    </row>
    <row r="138">
      <c r="A138" s="225" t="s">
        <v>65</v>
      </c>
      <c r="B138" s="225" t="s">
        <v>468</v>
      </c>
      <c r="C138" s="225" t="s">
        <v>59</v>
      </c>
      <c r="D138" s="226">
        <v>29.1</v>
      </c>
      <c r="E138" s="225" t="s">
        <v>815</v>
      </c>
      <c r="F138" s="227">
        <v>81.0</v>
      </c>
      <c r="G138" s="227">
        <v>19.0</v>
      </c>
      <c r="H138" s="227">
        <v>53.0</v>
      </c>
      <c r="I138" s="227">
        <v>72.0</v>
      </c>
      <c r="J138" s="226">
        <v>0.8888888888888888</v>
      </c>
      <c r="K138" s="226">
        <v>74.66666666666666</v>
      </c>
      <c r="L138" s="227">
        <v>184.0</v>
      </c>
      <c r="M138" s="226">
        <v>2.271604938271605</v>
      </c>
      <c r="N138" s="228">
        <v>0.10326086956521739</v>
      </c>
      <c r="O138" s="227">
        <v>20.0</v>
      </c>
      <c r="P138" s="226">
        <v>0.24691358024691357</v>
      </c>
      <c r="Q138" s="225" t="s">
        <v>810</v>
      </c>
      <c r="R138" s="228">
        <v>0.713</v>
      </c>
      <c r="S138" s="225" t="s">
        <v>849</v>
      </c>
      <c r="T138" s="227">
        <v>61.0</v>
      </c>
      <c r="U138" s="227">
        <v>29.0</v>
      </c>
      <c r="V138" s="226">
        <v>0.35802469135802467</v>
      </c>
      <c r="W138" s="227">
        <v>50.0</v>
      </c>
      <c r="X138" s="226">
        <v>0.6172839506172839</v>
      </c>
      <c r="Y138" s="227"/>
      <c r="Z138" s="228"/>
      <c r="AA138" s="227"/>
      <c r="AB138" s="228">
        <v>0.006999999999999999</v>
      </c>
      <c r="AC138" s="225"/>
      <c r="AD138" s="225"/>
      <c r="AE138" s="227"/>
      <c r="AF138" s="225" t="s">
        <v>1322</v>
      </c>
      <c r="AG138" s="229"/>
    </row>
    <row r="139">
      <c r="A139" s="225" t="s">
        <v>65</v>
      </c>
      <c r="B139" s="225" t="s">
        <v>968</v>
      </c>
      <c r="C139" s="225" t="s">
        <v>13</v>
      </c>
      <c r="D139" s="226">
        <v>25.7</v>
      </c>
      <c r="E139" s="225" t="s">
        <v>13</v>
      </c>
      <c r="F139" s="227">
        <v>71.0</v>
      </c>
      <c r="G139" s="227">
        <v>14.0</v>
      </c>
      <c r="H139" s="227">
        <v>25.0</v>
      </c>
      <c r="I139" s="227">
        <v>39.0</v>
      </c>
      <c r="J139" s="226">
        <v>0.5492957746478874</v>
      </c>
      <c r="K139" s="226">
        <v>46.140845070422536</v>
      </c>
      <c r="L139" s="227">
        <v>90.0</v>
      </c>
      <c r="M139" s="226">
        <v>1.267605633802817</v>
      </c>
      <c r="N139" s="228">
        <v>0.15555555555555556</v>
      </c>
      <c r="O139" s="227">
        <v>8.0</v>
      </c>
      <c r="P139" s="226">
        <v>0.11267605633802817</v>
      </c>
      <c r="Q139" s="225" t="s">
        <v>918</v>
      </c>
      <c r="R139" s="228">
        <v>0.434</v>
      </c>
      <c r="S139" s="225" t="s">
        <v>1324</v>
      </c>
      <c r="T139" s="227">
        <v>16.0</v>
      </c>
      <c r="U139" s="227">
        <v>24.0</v>
      </c>
      <c r="V139" s="226">
        <v>0.3380281690140845</v>
      </c>
      <c r="W139" s="227">
        <v>17.0</v>
      </c>
      <c r="X139" s="226">
        <v>0.23943661971830985</v>
      </c>
      <c r="Y139" s="227"/>
      <c r="Z139" s="228"/>
      <c r="AA139" s="227"/>
      <c r="AB139" s="228">
        <v>0.0</v>
      </c>
      <c r="AC139" s="225"/>
      <c r="AD139" s="225"/>
      <c r="AE139" s="227"/>
      <c r="AF139" s="225" t="s">
        <v>1326</v>
      </c>
      <c r="AG139" s="229"/>
    </row>
    <row r="140">
      <c r="A140" s="225" t="s">
        <v>65</v>
      </c>
      <c r="B140" s="225" t="s">
        <v>1296</v>
      </c>
      <c r="C140" s="225"/>
      <c r="D140" s="226"/>
      <c r="E140" s="225"/>
      <c r="F140" s="227"/>
      <c r="G140" s="227"/>
      <c r="H140" s="227"/>
      <c r="I140" s="227"/>
      <c r="J140" s="226"/>
      <c r="K140" s="226"/>
      <c r="L140" s="227"/>
      <c r="M140" s="226"/>
      <c r="N140" s="228"/>
      <c r="O140" s="227"/>
      <c r="P140" s="226"/>
      <c r="Q140" s="225"/>
      <c r="R140" s="228"/>
      <c r="S140" s="225"/>
      <c r="T140" s="227"/>
      <c r="U140" s="227"/>
      <c r="V140" s="226"/>
      <c r="W140" s="227"/>
      <c r="X140" s="226"/>
      <c r="Y140" s="227"/>
      <c r="Z140" s="228"/>
      <c r="AA140" s="227"/>
      <c r="AB140" s="228"/>
      <c r="AC140" s="225"/>
      <c r="AD140" s="225"/>
      <c r="AE140" s="227"/>
      <c r="AF140" s="225"/>
      <c r="AG140" s="229"/>
    </row>
    <row r="141">
      <c r="A141" s="225" t="s">
        <v>65</v>
      </c>
      <c r="B141" s="225" t="s">
        <v>891</v>
      </c>
      <c r="C141" s="225" t="s">
        <v>815</v>
      </c>
      <c r="D141" s="226">
        <v>35.4</v>
      </c>
      <c r="E141" s="225" t="s">
        <v>815</v>
      </c>
      <c r="F141" s="227">
        <v>25.0</v>
      </c>
      <c r="G141" s="227">
        <v>6.0</v>
      </c>
      <c r="H141" s="227">
        <v>12.0</v>
      </c>
      <c r="I141" s="227">
        <v>18.0</v>
      </c>
      <c r="J141" s="226">
        <v>0.72</v>
      </c>
      <c r="K141" s="226">
        <v>60.48</v>
      </c>
      <c r="L141" s="227">
        <v>71.0</v>
      </c>
      <c r="M141" s="226">
        <v>2.84</v>
      </c>
      <c r="N141" s="228">
        <v>0.08450704225352113</v>
      </c>
      <c r="O141" s="227">
        <v>5.0</v>
      </c>
      <c r="P141" s="226">
        <v>0.2</v>
      </c>
      <c r="Q141" s="225" t="s">
        <v>1328</v>
      </c>
      <c r="R141" s="228">
        <v>0.654</v>
      </c>
      <c r="S141" s="225" t="s">
        <v>943</v>
      </c>
      <c r="T141" s="227">
        <v>8.0</v>
      </c>
      <c r="U141" s="227">
        <v>19.0</v>
      </c>
      <c r="V141" s="226">
        <v>0.76</v>
      </c>
      <c r="W141" s="227">
        <v>9.0</v>
      </c>
      <c r="X141" s="226">
        <v>0.36</v>
      </c>
      <c r="Y141" s="227"/>
      <c r="Z141" s="228"/>
      <c r="AA141" s="227"/>
      <c r="AB141" s="228">
        <v>0.36200000000000004</v>
      </c>
      <c r="AC141" s="225"/>
      <c r="AD141" s="225"/>
      <c r="AE141" s="227"/>
      <c r="AF141" s="225" t="s">
        <v>68</v>
      </c>
      <c r="AG141" s="229"/>
    </row>
    <row r="142">
      <c r="A142" s="225" t="s">
        <v>65</v>
      </c>
      <c r="B142" s="225" t="s">
        <v>1247</v>
      </c>
      <c r="C142" s="225" t="s">
        <v>815</v>
      </c>
      <c r="D142" s="226">
        <v>19.7</v>
      </c>
      <c r="E142" s="225" t="s">
        <v>815</v>
      </c>
      <c r="F142" s="227">
        <v>1.0</v>
      </c>
      <c r="G142" s="227">
        <v>0.0</v>
      </c>
      <c r="H142" s="227">
        <v>1.0</v>
      </c>
      <c r="I142" s="227">
        <v>1.0</v>
      </c>
      <c r="J142" s="226">
        <v>1.0</v>
      </c>
      <c r="K142" s="226">
        <v>84.0</v>
      </c>
      <c r="L142" s="227">
        <v>2.0</v>
      </c>
      <c r="M142" s="226">
        <v>2.0</v>
      </c>
      <c r="N142" s="228">
        <v>0.0</v>
      </c>
      <c r="O142" s="227">
        <v>0.0</v>
      </c>
      <c r="P142" s="226">
        <v>0.0</v>
      </c>
      <c r="Q142" s="225" t="s">
        <v>1329</v>
      </c>
      <c r="R142" s="228">
        <v>0.621</v>
      </c>
      <c r="S142" s="225" t="s">
        <v>976</v>
      </c>
      <c r="T142" s="227">
        <v>0.0</v>
      </c>
      <c r="U142" s="227">
        <v>2.0</v>
      </c>
      <c r="V142" s="226">
        <v>2.0</v>
      </c>
      <c r="W142" s="227">
        <v>0.0</v>
      </c>
      <c r="X142" s="226">
        <v>0.0</v>
      </c>
      <c r="Y142" s="227"/>
      <c r="Z142" s="228"/>
      <c r="AA142" s="227"/>
      <c r="AB142" s="228">
        <v>0.0</v>
      </c>
      <c r="AC142" s="225"/>
      <c r="AD142" s="225"/>
      <c r="AE142" s="227"/>
      <c r="AF142" s="225" t="s">
        <v>1331</v>
      </c>
      <c r="AG142" s="229"/>
    </row>
    <row r="143">
      <c r="A143" s="225" t="s">
        <v>88</v>
      </c>
      <c r="B143" s="225" t="s">
        <v>735</v>
      </c>
      <c r="C143" s="225" t="s">
        <v>13</v>
      </c>
      <c r="D143" s="226">
        <v>21.1</v>
      </c>
      <c r="E143" s="225" t="s">
        <v>13</v>
      </c>
      <c r="F143" s="227">
        <v>49.0</v>
      </c>
      <c r="G143" s="227">
        <v>12.0</v>
      </c>
      <c r="H143" s="227">
        <v>15.0</v>
      </c>
      <c r="I143" s="227">
        <v>27.0</v>
      </c>
      <c r="J143" s="226">
        <v>0.5510204081632653</v>
      </c>
      <c r="K143" s="226">
        <v>46.28571428571428</v>
      </c>
      <c r="L143" s="227">
        <v>73.0</v>
      </c>
      <c r="M143" s="226">
        <v>1.489795918367347</v>
      </c>
      <c r="N143" s="228">
        <v>0.1643835616438356</v>
      </c>
      <c r="O143" s="227">
        <v>6.0</v>
      </c>
      <c r="P143" s="226">
        <v>0.12244897959183673</v>
      </c>
      <c r="Q143" s="225" t="s">
        <v>1332</v>
      </c>
      <c r="R143" s="228">
        <v>0.299</v>
      </c>
      <c r="S143" s="225" t="s">
        <v>867</v>
      </c>
      <c r="T143" s="227">
        <v>10.0</v>
      </c>
      <c r="U143" s="227">
        <v>25.0</v>
      </c>
      <c r="V143" s="226">
        <v>0.5102040816326531</v>
      </c>
      <c r="W143" s="227">
        <v>22.0</v>
      </c>
      <c r="X143" s="226">
        <v>0.4489795918367347</v>
      </c>
      <c r="Y143" s="227"/>
      <c r="Z143" s="228"/>
      <c r="AA143" s="227"/>
      <c r="AB143" s="228">
        <v>0.0</v>
      </c>
      <c r="AC143" s="225"/>
      <c r="AD143" s="225"/>
      <c r="AE143" s="227"/>
      <c r="AF143" s="225" t="s">
        <v>1333</v>
      </c>
      <c r="AG143" s="229"/>
    </row>
    <row r="144">
      <c r="A144" s="225" t="s">
        <v>88</v>
      </c>
      <c r="B144" s="225" t="s">
        <v>453</v>
      </c>
      <c r="C144" s="225" t="s">
        <v>59</v>
      </c>
      <c r="D144" s="226">
        <v>33.2</v>
      </c>
      <c r="E144" s="225" t="s">
        <v>815</v>
      </c>
      <c r="F144" s="227">
        <v>81.0</v>
      </c>
      <c r="G144" s="227">
        <v>34.0</v>
      </c>
      <c r="H144" s="227">
        <v>44.0</v>
      </c>
      <c r="I144" s="227">
        <v>78.0</v>
      </c>
      <c r="J144" s="226">
        <v>0.9629629629629629</v>
      </c>
      <c r="K144" s="226">
        <v>80.88888888888889</v>
      </c>
      <c r="L144" s="227">
        <v>215.0</v>
      </c>
      <c r="M144" s="226">
        <v>2.654320987654321</v>
      </c>
      <c r="N144" s="228">
        <v>0.15813953488372093</v>
      </c>
      <c r="O144" s="227">
        <v>35.0</v>
      </c>
      <c r="P144" s="226">
        <v>0.43209876543209874</v>
      </c>
      <c r="Q144" s="225" t="s">
        <v>909</v>
      </c>
      <c r="R144" s="228">
        <v>0.763</v>
      </c>
      <c r="S144" s="225" t="s">
        <v>1334</v>
      </c>
      <c r="T144" s="227">
        <v>14.0</v>
      </c>
      <c r="U144" s="227">
        <v>105.0</v>
      </c>
      <c r="V144" s="226">
        <v>1.2962962962962963</v>
      </c>
      <c r="W144" s="227">
        <v>50.0</v>
      </c>
      <c r="X144" s="226">
        <v>0.6172839506172839</v>
      </c>
      <c r="Y144" s="227"/>
      <c r="Z144" s="228"/>
      <c r="AA144" s="227"/>
      <c r="AB144" s="228">
        <v>0.384</v>
      </c>
      <c r="AC144" s="225"/>
      <c r="AD144" s="225"/>
      <c r="AE144" s="227"/>
      <c r="AF144" s="225" t="s">
        <v>79</v>
      </c>
      <c r="AG144" s="229"/>
    </row>
    <row r="145">
      <c r="A145" s="225" t="s">
        <v>88</v>
      </c>
      <c r="B145" s="225" t="s">
        <v>617</v>
      </c>
      <c r="C145" s="225" t="s">
        <v>815</v>
      </c>
      <c r="D145" s="226">
        <v>24.7</v>
      </c>
      <c r="E145" s="225" t="s">
        <v>13</v>
      </c>
      <c r="F145" s="227">
        <v>82.0</v>
      </c>
      <c r="G145" s="227">
        <v>24.0</v>
      </c>
      <c r="H145" s="227">
        <v>33.0</v>
      </c>
      <c r="I145" s="227">
        <v>57.0</v>
      </c>
      <c r="J145" s="226">
        <v>0.6951219512195121</v>
      </c>
      <c r="K145" s="226">
        <v>58.39024390243902</v>
      </c>
      <c r="L145" s="227">
        <v>164.0</v>
      </c>
      <c r="M145" s="226">
        <v>2.0</v>
      </c>
      <c r="N145" s="228">
        <v>0.14634146341463414</v>
      </c>
      <c r="O145" s="227">
        <v>15.0</v>
      </c>
      <c r="P145" s="226">
        <v>0.18292682926829268</v>
      </c>
      <c r="Q145" s="225" t="s">
        <v>1337</v>
      </c>
      <c r="R145" s="228">
        <v>0.5579999999999999</v>
      </c>
      <c r="S145" s="225" t="s">
        <v>1338</v>
      </c>
      <c r="T145" s="227">
        <v>20.0</v>
      </c>
      <c r="U145" s="227">
        <v>84.0</v>
      </c>
      <c r="V145" s="226">
        <v>1.024390243902439</v>
      </c>
      <c r="W145" s="227">
        <v>42.0</v>
      </c>
      <c r="X145" s="226">
        <v>0.5121951219512195</v>
      </c>
      <c r="Y145" s="227"/>
      <c r="Z145" s="228"/>
      <c r="AA145" s="227"/>
      <c r="AB145" s="228">
        <v>0.004</v>
      </c>
      <c r="AC145" s="225"/>
      <c r="AD145" s="225"/>
      <c r="AE145" s="227"/>
      <c r="AF145" s="225" t="s">
        <v>1339</v>
      </c>
      <c r="AG145" s="229"/>
    </row>
    <row r="146">
      <c r="A146" s="225" t="s">
        <v>88</v>
      </c>
      <c r="B146" s="225" t="s">
        <v>344</v>
      </c>
      <c r="C146" s="225" t="s">
        <v>59</v>
      </c>
      <c r="D146" s="226">
        <v>33.3</v>
      </c>
      <c r="E146" s="225" t="s">
        <v>13</v>
      </c>
      <c r="F146" s="227">
        <v>68.0</v>
      </c>
      <c r="G146" s="227">
        <v>17.0</v>
      </c>
      <c r="H146" s="227">
        <v>36.0</v>
      </c>
      <c r="I146" s="227">
        <v>53.0</v>
      </c>
      <c r="J146" s="226">
        <v>0.7794117647058824</v>
      </c>
      <c r="K146" s="226">
        <v>65.47058823529412</v>
      </c>
      <c r="L146" s="227">
        <v>144.0</v>
      </c>
      <c r="M146" s="226">
        <v>2.1176470588235294</v>
      </c>
      <c r="N146" s="228">
        <v>0.11805555555555555</v>
      </c>
      <c r="O146" s="227">
        <v>19.0</v>
      </c>
      <c r="P146" s="226">
        <v>0.27941176470588236</v>
      </c>
      <c r="Q146" s="225" t="s">
        <v>942</v>
      </c>
      <c r="R146" s="228">
        <v>0.7120000000000001</v>
      </c>
      <c r="S146" s="225" t="s">
        <v>1340</v>
      </c>
      <c r="T146" s="227">
        <v>33.0</v>
      </c>
      <c r="U146" s="227">
        <v>123.0</v>
      </c>
      <c r="V146" s="226">
        <v>1.8088235294117647</v>
      </c>
      <c r="W146" s="227">
        <v>34.0</v>
      </c>
      <c r="X146" s="226">
        <v>0.5</v>
      </c>
      <c r="Y146" s="227"/>
      <c r="Z146" s="228"/>
      <c r="AA146" s="227"/>
      <c r="AB146" s="228">
        <v>0.353</v>
      </c>
      <c r="AC146" s="225"/>
      <c r="AD146" s="225"/>
      <c r="AE146" s="227"/>
      <c r="AF146" s="225" t="s">
        <v>1181</v>
      </c>
      <c r="AG146" s="229"/>
    </row>
    <row r="147">
      <c r="A147" s="225" t="s">
        <v>88</v>
      </c>
      <c r="B147" s="225" t="s">
        <v>534</v>
      </c>
      <c r="C147" s="225" t="s">
        <v>815</v>
      </c>
      <c r="D147" s="226">
        <v>25.6</v>
      </c>
      <c r="E147" s="225" t="s">
        <v>13</v>
      </c>
      <c r="F147" s="227">
        <v>82.0</v>
      </c>
      <c r="G147" s="227">
        <v>37.0</v>
      </c>
      <c r="H147" s="227">
        <v>27.0</v>
      </c>
      <c r="I147" s="227">
        <v>64.0</v>
      </c>
      <c r="J147" s="226">
        <v>0.7804878048780488</v>
      </c>
      <c r="K147" s="226">
        <v>65.5609756097561</v>
      </c>
      <c r="L147" s="227">
        <v>230.0</v>
      </c>
      <c r="M147" s="226">
        <v>2.8048780487804876</v>
      </c>
      <c r="N147" s="228">
        <v>0.1608695652173913</v>
      </c>
      <c r="O147" s="227">
        <v>30.0</v>
      </c>
      <c r="P147" s="226">
        <v>0.36585365853658536</v>
      </c>
      <c r="Q147" s="225" t="s">
        <v>1342</v>
      </c>
      <c r="R147" s="228">
        <v>0.768</v>
      </c>
      <c r="S147" s="225" t="s">
        <v>1338</v>
      </c>
      <c r="T147" s="227">
        <v>24.0</v>
      </c>
      <c r="U147" s="227">
        <v>27.0</v>
      </c>
      <c r="V147" s="226">
        <v>0.32926829268292684</v>
      </c>
      <c r="W147" s="227">
        <v>28.0</v>
      </c>
      <c r="X147" s="226">
        <v>0.34146341463414637</v>
      </c>
      <c r="Y147" s="227"/>
      <c r="Z147" s="228"/>
      <c r="AA147" s="227"/>
      <c r="AB147" s="228">
        <v>0.001</v>
      </c>
      <c r="AC147" s="225"/>
      <c r="AD147" s="225"/>
      <c r="AE147" s="227"/>
      <c r="AF147" s="225" t="s">
        <v>1343</v>
      </c>
      <c r="AG147" s="229"/>
    </row>
    <row r="148">
      <c r="A148" s="225" t="s">
        <v>88</v>
      </c>
      <c r="B148" s="225" t="s">
        <v>1084</v>
      </c>
      <c r="C148" s="225" t="s">
        <v>13</v>
      </c>
      <c r="D148" s="226">
        <v>24.4</v>
      </c>
      <c r="E148" s="225" t="s">
        <v>13</v>
      </c>
      <c r="F148" s="227">
        <v>82.0</v>
      </c>
      <c r="G148" s="227">
        <v>20.0</v>
      </c>
      <c r="H148" s="227">
        <v>18.0</v>
      </c>
      <c r="I148" s="227">
        <v>38.0</v>
      </c>
      <c r="J148" s="226">
        <v>0.4634146341463415</v>
      </c>
      <c r="K148" s="226">
        <v>38.926829268292686</v>
      </c>
      <c r="L148" s="227">
        <v>157.0</v>
      </c>
      <c r="M148" s="226">
        <v>1.9146341463414633</v>
      </c>
      <c r="N148" s="228">
        <v>0.12738853503184713</v>
      </c>
      <c r="O148" s="227">
        <v>8.0</v>
      </c>
      <c r="P148" s="226">
        <v>0.0975609756097561</v>
      </c>
      <c r="Q148" s="225" t="s">
        <v>1345</v>
      </c>
      <c r="R148" s="228">
        <v>0.337</v>
      </c>
      <c r="S148" s="225" t="s">
        <v>859</v>
      </c>
      <c r="T148" s="227">
        <v>65.0</v>
      </c>
      <c r="U148" s="227">
        <v>302.0</v>
      </c>
      <c r="V148" s="226">
        <v>3.682926829268293</v>
      </c>
      <c r="W148" s="227">
        <v>68.0</v>
      </c>
      <c r="X148" s="226">
        <v>0.8292682926829268</v>
      </c>
      <c r="Y148" s="227"/>
      <c r="Z148" s="228"/>
      <c r="AA148" s="227"/>
      <c r="AB148" s="228">
        <v>0.308</v>
      </c>
      <c r="AC148" s="225"/>
      <c r="AD148" s="225"/>
      <c r="AE148" s="227"/>
      <c r="AF148" s="225" t="s">
        <v>1347</v>
      </c>
      <c r="AG148" s="229"/>
    </row>
    <row r="149">
      <c r="A149" s="225" t="s">
        <v>88</v>
      </c>
      <c r="B149" s="225" t="s">
        <v>1129</v>
      </c>
      <c r="C149" s="225" t="s">
        <v>815</v>
      </c>
      <c r="D149" s="226">
        <v>31.2</v>
      </c>
      <c r="E149" s="225" t="s">
        <v>815</v>
      </c>
      <c r="F149" s="227">
        <v>80.0</v>
      </c>
      <c r="G149" s="227">
        <v>12.0</v>
      </c>
      <c r="H149" s="227">
        <v>20.0</v>
      </c>
      <c r="I149" s="227">
        <v>32.0</v>
      </c>
      <c r="J149" s="226">
        <v>0.4</v>
      </c>
      <c r="K149" s="226">
        <v>33.6</v>
      </c>
      <c r="L149" s="227">
        <v>130.0</v>
      </c>
      <c r="M149" s="226">
        <v>1.625</v>
      </c>
      <c r="N149" s="228">
        <v>0.09230769230769231</v>
      </c>
      <c r="O149" s="227">
        <v>14.0</v>
      </c>
      <c r="P149" s="226">
        <v>0.175</v>
      </c>
      <c r="Q149" s="225" t="s">
        <v>942</v>
      </c>
      <c r="R149" s="228">
        <v>0.624</v>
      </c>
      <c r="S149" s="225" t="s">
        <v>1267</v>
      </c>
      <c r="T149" s="227">
        <v>16.0</v>
      </c>
      <c r="U149" s="227">
        <v>85.0</v>
      </c>
      <c r="V149" s="226">
        <v>1.0625</v>
      </c>
      <c r="W149" s="227">
        <v>39.0</v>
      </c>
      <c r="X149" s="226">
        <v>0.4875</v>
      </c>
      <c r="Y149" s="227"/>
      <c r="Z149" s="228"/>
      <c r="AA149" s="227"/>
      <c r="AB149" s="228">
        <v>0.0</v>
      </c>
      <c r="AC149" s="225"/>
      <c r="AD149" s="225"/>
      <c r="AE149" s="227"/>
      <c r="AF149" s="225" t="s">
        <v>456</v>
      </c>
      <c r="AG149" s="229"/>
    </row>
    <row r="150">
      <c r="A150" s="225" t="s">
        <v>88</v>
      </c>
      <c r="B150" s="225" t="s">
        <v>1349</v>
      </c>
      <c r="C150" s="225" t="s">
        <v>13</v>
      </c>
      <c r="D150" s="226">
        <v>21.8</v>
      </c>
      <c r="E150" s="225" t="s">
        <v>13</v>
      </c>
      <c r="F150" s="227">
        <v>11.0</v>
      </c>
      <c r="G150" s="227">
        <v>3.0</v>
      </c>
      <c r="H150" s="227">
        <v>1.0</v>
      </c>
      <c r="I150" s="227">
        <v>4.0</v>
      </c>
      <c r="J150" s="226">
        <v>0.36363636363636365</v>
      </c>
      <c r="K150" s="226">
        <v>30.545454545454547</v>
      </c>
      <c r="L150" s="227">
        <v>15.0</v>
      </c>
      <c r="M150" s="226">
        <v>1.3636363636363635</v>
      </c>
      <c r="N150" s="228">
        <v>0.2</v>
      </c>
      <c r="O150" s="227">
        <v>0.0</v>
      </c>
      <c r="P150" s="226">
        <v>0.0</v>
      </c>
      <c r="Q150" s="225" t="s">
        <v>1351</v>
      </c>
      <c r="R150" s="228">
        <v>0.024</v>
      </c>
      <c r="S150" s="225" t="s">
        <v>1352</v>
      </c>
      <c r="T150" s="227">
        <v>5.0</v>
      </c>
      <c r="U150" s="227">
        <v>20.0</v>
      </c>
      <c r="V150" s="226">
        <v>1.8181818181818181</v>
      </c>
      <c r="W150" s="227">
        <v>10.0</v>
      </c>
      <c r="X150" s="226">
        <v>0.9090909090909091</v>
      </c>
      <c r="Y150" s="227"/>
      <c r="Z150" s="228"/>
      <c r="AA150" s="227"/>
      <c r="AB150" s="228">
        <v>0.009000000000000001</v>
      </c>
      <c r="AC150" s="225"/>
      <c r="AD150" s="225"/>
      <c r="AE150" s="227"/>
      <c r="AF150" s="225" t="s">
        <v>927</v>
      </c>
      <c r="AG150" s="229"/>
    </row>
    <row r="151">
      <c r="A151" s="225" t="s">
        <v>88</v>
      </c>
      <c r="B151" s="225" t="s">
        <v>1353</v>
      </c>
      <c r="C151" s="225"/>
      <c r="D151" s="226"/>
      <c r="E151" s="225"/>
      <c r="F151" s="227"/>
      <c r="G151" s="227"/>
      <c r="H151" s="227"/>
      <c r="I151" s="227"/>
      <c r="J151" s="226"/>
      <c r="K151" s="226"/>
      <c r="L151" s="227"/>
      <c r="M151" s="226"/>
      <c r="N151" s="228"/>
      <c r="O151" s="227"/>
      <c r="P151" s="226"/>
      <c r="Q151" s="225"/>
      <c r="R151" s="228"/>
      <c r="S151" s="225"/>
      <c r="T151" s="227"/>
      <c r="U151" s="227"/>
      <c r="V151" s="226"/>
      <c r="W151" s="227"/>
      <c r="X151" s="226"/>
      <c r="Y151" s="227"/>
      <c r="Z151" s="228"/>
      <c r="AA151" s="227"/>
      <c r="AB151" s="228"/>
      <c r="AC151" s="225"/>
      <c r="AD151" s="225"/>
      <c r="AE151" s="227"/>
      <c r="AF151" s="225"/>
      <c r="AG151" s="229"/>
    </row>
    <row r="152">
      <c r="A152" s="225" t="s">
        <v>88</v>
      </c>
      <c r="B152" s="225" t="s">
        <v>1356</v>
      </c>
      <c r="C152" s="225"/>
      <c r="D152" s="226"/>
      <c r="E152" s="225"/>
      <c r="F152" s="227"/>
      <c r="G152" s="227"/>
      <c r="H152" s="227"/>
      <c r="I152" s="227"/>
      <c r="J152" s="226"/>
      <c r="K152" s="226"/>
      <c r="L152" s="227"/>
      <c r="M152" s="226"/>
      <c r="N152" s="228"/>
      <c r="O152" s="227"/>
      <c r="P152" s="226"/>
      <c r="Q152" s="225"/>
      <c r="R152" s="228"/>
      <c r="S152" s="225"/>
      <c r="T152" s="227"/>
      <c r="U152" s="227"/>
      <c r="V152" s="226"/>
      <c r="W152" s="227"/>
      <c r="X152" s="226"/>
      <c r="Y152" s="227"/>
      <c r="Z152" s="228"/>
      <c r="AA152" s="227"/>
      <c r="AB152" s="228"/>
      <c r="AC152" s="225"/>
      <c r="AD152" s="225"/>
      <c r="AE152" s="227"/>
      <c r="AF152" s="225"/>
      <c r="AG152" s="229"/>
    </row>
    <row r="153">
      <c r="A153" s="225" t="s">
        <v>122</v>
      </c>
      <c r="B153" s="225" t="s">
        <v>608</v>
      </c>
      <c r="C153" s="225" t="s">
        <v>815</v>
      </c>
      <c r="D153" s="226">
        <v>28.1</v>
      </c>
      <c r="E153" s="225" t="s">
        <v>815</v>
      </c>
      <c r="F153" s="227">
        <v>79.0</v>
      </c>
      <c r="G153" s="227">
        <v>33.0</v>
      </c>
      <c r="H153" s="227">
        <v>38.0</v>
      </c>
      <c r="I153" s="227">
        <v>71.0</v>
      </c>
      <c r="J153" s="226">
        <v>0.8987341772151899</v>
      </c>
      <c r="K153" s="226">
        <v>75.49367088607595</v>
      </c>
      <c r="L153" s="227">
        <v>167.0</v>
      </c>
      <c r="M153" s="226">
        <v>2.1139240506329116</v>
      </c>
      <c r="N153" s="228">
        <v>0.19760479041916168</v>
      </c>
      <c r="O153" s="227">
        <v>30.0</v>
      </c>
      <c r="P153" s="226">
        <v>0.379746835443038</v>
      </c>
      <c r="Q153" s="225" t="s">
        <v>816</v>
      </c>
      <c r="R153" s="228">
        <v>0.605</v>
      </c>
      <c r="S153" s="225" t="s">
        <v>1358</v>
      </c>
      <c r="T153" s="227">
        <v>33.0</v>
      </c>
      <c r="U153" s="227">
        <v>122.0</v>
      </c>
      <c r="V153" s="226">
        <v>1.5443037974683544</v>
      </c>
      <c r="W153" s="227">
        <v>22.0</v>
      </c>
      <c r="X153" s="226">
        <v>0.27848101265822783</v>
      </c>
      <c r="Y153" s="227"/>
      <c r="Z153" s="228"/>
      <c r="AA153" s="227"/>
      <c r="AB153" s="228">
        <v>0.002</v>
      </c>
      <c r="AC153" s="225"/>
      <c r="AD153" s="225"/>
      <c r="AE153" s="227"/>
      <c r="AF153" s="225" t="s">
        <v>1359</v>
      </c>
      <c r="AG153" s="229"/>
    </row>
    <row r="154">
      <c r="A154" s="225" t="s">
        <v>122</v>
      </c>
      <c r="B154" s="225" t="s">
        <v>324</v>
      </c>
      <c r="C154" s="225" t="s">
        <v>59</v>
      </c>
      <c r="D154" s="226">
        <v>24.4</v>
      </c>
      <c r="E154" s="225" t="s">
        <v>13</v>
      </c>
      <c r="F154" s="227">
        <v>80.0</v>
      </c>
      <c r="G154" s="227">
        <v>34.0</v>
      </c>
      <c r="H154" s="227">
        <v>49.0</v>
      </c>
      <c r="I154" s="227">
        <v>83.0</v>
      </c>
      <c r="J154" s="226">
        <v>1.0375</v>
      </c>
      <c r="K154" s="226">
        <v>87.15</v>
      </c>
      <c r="L154" s="227">
        <v>194.0</v>
      </c>
      <c r="M154" s="226">
        <v>2.425</v>
      </c>
      <c r="N154" s="228">
        <v>0.17525773195876287</v>
      </c>
      <c r="O154" s="227">
        <v>29.0</v>
      </c>
      <c r="P154" s="226">
        <v>0.3625</v>
      </c>
      <c r="Q154" s="225" t="s">
        <v>1342</v>
      </c>
      <c r="R154" s="228">
        <v>0.6509999999999999</v>
      </c>
      <c r="S154" s="225" t="s">
        <v>1360</v>
      </c>
      <c r="T154" s="227">
        <v>39.0</v>
      </c>
      <c r="U154" s="227">
        <v>126.0</v>
      </c>
      <c r="V154" s="226">
        <v>1.575</v>
      </c>
      <c r="W154" s="227">
        <v>44.0</v>
      </c>
      <c r="X154" s="226">
        <v>0.55</v>
      </c>
      <c r="Y154" s="227"/>
      <c r="Z154" s="228"/>
      <c r="AA154" s="227"/>
      <c r="AB154" s="228">
        <v>0.39299999999999996</v>
      </c>
      <c r="AC154" s="225"/>
      <c r="AD154" s="225"/>
      <c r="AE154" s="227"/>
      <c r="AF154" s="225" t="s">
        <v>1362</v>
      </c>
      <c r="AG154" s="229"/>
    </row>
    <row r="155">
      <c r="A155" s="225" t="s">
        <v>122</v>
      </c>
      <c r="B155" s="225" t="s">
        <v>1149</v>
      </c>
      <c r="C155" s="225" t="s">
        <v>13</v>
      </c>
      <c r="D155" s="226">
        <v>23.9</v>
      </c>
      <c r="E155" s="225" t="s">
        <v>13</v>
      </c>
      <c r="F155" s="227">
        <v>77.0</v>
      </c>
      <c r="G155" s="227">
        <v>13.0</v>
      </c>
      <c r="H155" s="227">
        <v>22.0</v>
      </c>
      <c r="I155" s="227">
        <v>35.0</v>
      </c>
      <c r="J155" s="226">
        <v>0.45454545454545453</v>
      </c>
      <c r="K155" s="226">
        <v>38.18181818181818</v>
      </c>
      <c r="L155" s="227">
        <v>129.0</v>
      </c>
      <c r="M155" s="226">
        <v>1.6753246753246753</v>
      </c>
      <c r="N155" s="228">
        <v>0.10077519379844961</v>
      </c>
      <c r="O155" s="227">
        <v>3.0</v>
      </c>
      <c r="P155" s="226">
        <v>0.03896103896103896</v>
      </c>
      <c r="Q155" s="225" t="s">
        <v>1364</v>
      </c>
      <c r="R155" s="228">
        <v>0.188</v>
      </c>
      <c r="S155" s="225" t="s">
        <v>1308</v>
      </c>
      <c r="T155" s="227">
        <v>83.0</v>
      </c>
      <c r="U155" s="227">
        <v>96.0</v>
      </c>
      <c r="V155" s="226">
        <v>1.2467532467532467</v>
      </c>
      <c r="W155" s="227">
        <v>52.0</v>
      </c>
      <c r="X155" s="226">
        <v>0.6753246753246753</v>
      </c>
      <c r="Y155" s="227"/>
      <c r="Z155" s="228"/>
      <c r="AA155" s="227"/>
      <c r="AB155" s="228">
        <v>0.445</v>
      </c>
      <c r="AC155" s="225"/>
      <c r="AD155" s="225"/>
      <c r="AE155" s="227"/>
      <c r="AF155" s="225" t="s">
        <v>1290</v>
      </c>
      <c r="AG155" s="229"/>
    </row>
    <row r="156">
      <c r="A156" s="225" t="s">
        <v>122</v>
      </c>
      <c r="B156" s="225" t="s">
        <v>647</v>
      </c>
      <c r="C156" s="225" t="s">
        <v>13</v>
      </c>
      <c r="D156" s="226">
        <v>23.7</v>
      </c>
      <c r="E156" s="225" t="s">
        <v>13</v>
      </c>
      <c r="F156" s="227">
        <v>78.0</v>
      </c>
      <c r="G156" s="227">
        <v>15.0</v>
      </c>
      <c r="H156" s="227">
        <v>38.0</v>
      </c>
      <c r="I156" s="227">
        <v>53.0</v>
      </c>
      <c r="J156" s="226">
        <v>0.6794871794871795</v>
      </c>
      <c r="K156" s="226">
        <v>57.07692307692308</v>
      </c>
      <c r="L156" s="227">
        <v>176.0</v>
      </c>
      <c r="M156" s="226">
        <v>2.2564102564102564</v>
      </c>
      <c r="N156" s="228">
        <v>0.08522727272727272</v>
      </c>
      <c r="O156" s="227">
        <v>16.0</v>
      </c>
      <c r="P156" s="226">
        <v>0.20512820512820512</v>
      </c>
      <c r="Q156" s="225" t="s">
        <v>961</v>
      </c>
      <c r="R156" s="228">
        <v>0.563</v>
      </c>
      <c r="S156" s="225" t="s">
        <v>1254</v>
      </c>
      <c r="T156" s="227">
        <v>32.0</v>
      </c>
      <c r="U156" s="227">
        <v>72.0</v>
      </c>
      <c r="V156" s="226">
        <v>0.9230769230769231</v>
      </c>
      <c r="W156" s="227">
        <v>51.0</v>
      </c>
      <c r="X156" s="226">
        <v>0.6538461538461539</v>
      </c>
      <c r="Y156" s="227"/>
      <c r="Z156" s="228"/>
      <c r="AA156" s="227"/>
      <c r="AB156" s="228">
        <v>0.086</v>
      </c>
      <c r="AC156" s="225"/>
      <c r="AD156" s="225"/>
      <c r="AE156" s="227"/>
      <c r="AF156" s="225" t="s">
        <v>1367</v>
      </c>
      <c r="AG156" s="229"/>
    </row>
    <row r="157">
      <c r="A157" s="225" t="s">
        <v>122</v>
      </c>
      <c r="B157" s="225" t="s">
        <v>755</v>
      </c>
      <c r="C157" s="225" t="s">
        <v>59</v>
      </c>
      <c r="D157" s="226">
        <v>25.4</v>
      </c>
      <c r="E157" s="225" t="s">
        <v>815</v>
      </c>
      <c r="F157" s="227">
        <v>82.0</v>
      </c>
      <c r="G157" s="227">
        <v>28.0</v>
      </c>
      <c r="H157" s="227">
        <v>31.0</v>
      </c>
      <c r="I157" s="227">
        <v>59.0</v>
      </c>
      <c r="J157" s="226">
        <v>0.7195121951219512</v>
      </c>
      <c r="K157" s="226">
        <v>60.4390243902439</v>
      </c>
      <c r="L157" s="227">
        <v>205.0</v>
      </c>
      <c r="M157" s="226">
        <v>2.5</v>
      </c>
      <c r="N157" s="228">
        <v>0.13658536585365855</v>
      </c>
      <c r="O157" s="227">
        <v>29.0</v>
      </c>
      <c r="P157" s="226">
        <v>0.35365853658536583</v>
      </c>
      <c r="Q157" s="225" t="s">
        <v>821</v>
      </c>
      <c r="R157" s="228">
        <v>0.599</v>
      </c>
      <c r="S157" s="225" t="s">
        <v>1368</v>
      </c>
      <c r="T157" s="227">
        <v>59.0</v>
      </c>
      <c r="U157" s="227">
        <v>215.0</v>
      </c>
      <c r="V157" s="226">
        <v>2.6219512195121952</v>
      </c>
      <c r="W157" s="227">
        <v>24.0</v>
      </c>
      <c r="X157" s="226">
        <v>0.2926829268292683</v>
      </c>
      <c r="Y157" s="227"/>
      <c r="Z157" s="228"/>
      <c r="AA157" s="227"/>
      <c r="AB157" s="228">
        <v>0.018000000000000002</v>
      </c>
      <c r="AC157" s="225"/>
      <c r="AD157" s="225"/>
      <c r="AE157" s="227"/>
      <c r="AF157" s="225" t="s">
        <v>1370</v>
      </c>
      <c r="AG157" s="229"/>
    </row>
    <row r="158">
      <c r="A158" s="225" t="s">
        <v>122</v>
      </c>
      <c r="B158" s="225" t="s">
        <v>768</v>
      </c>
      <c r="C158" s="225" t="s">
        <v>59</v>
      </c>
      <c r="D158" s="226">
        <v>25.6</v>
      </c>
      <c r="E158" s="225" t="s">
        <v>815</v>
      </c>
      <c r="F158" s="227">
        <v>72.0</v>
      </c>
      <c r="G158" s="227">
        <v>23.0</v>
      </c>
      <c r="H158" s="227">
        <v>23.0</v>
      </c>
      <c r="I158" s="227">
        <v>46.0</v>
      </c>
      <c r="J158" s="226">
        <v>0.6388888888888888</v>
      </c>
      <c r="K158" s="226">
        <v>53.666666666666664</v>
      </c>
      <c r="L158" s="227">
        <v>157.0</v>
      </c>
      <c r="M158" s="226">
        <v>2.1805555555555554</v>
      </c>
      <c r="N158" s="228">
        <v>0.1464968152866242</v>
      </c>
      <c r="O158" s="227">
        <v>5.0</v>
      </c>
      <c r="P158" s="226">
        <v>0.06944444444444445</v>
      </c>
      <c r="Q158" s="225" t="s">
        <v>1371</v>
      </c>
      <c r="R158" s="228">
        <v>0.34700000000000003</v>
      </c>
      <c r="S158" s="225" t="s">
        <v>1372</v>
      </c>
      <c r="T158" s="227">
        <v>42.0</v>
      </c>
      <c r="U158" s="227">
        <v>94.0</v>
      </c>
      <c r="V158" s="226">
        <v>1.3055555555555556</v>
      </c>
      <c r="W158" s="227">
        <v>50.0</v>
      </c>
      <c r="X158" s="226">
        <v>0.6944444444444444</v>
      </c>
      <c r="Y158" s="227"/>
      <c r="Z158" s="228"/>
      <c r="AA158" s="227"/>
      <c r="AB158" s="228">
        <v>0.46799999999999997</v>
      </c>
      <c r="AC158" s="225"/>
      <c r="AD158" s="225"/>
      <c r="AE158" s="227"/>
      <c r="AF158" s="225" t="s">
        <v>205</v>
      </c>
      <c r="AG158" s="229"/>
    </row>
    <row r="159">
      <c r="A159" s="225" t="s">
        <v>122</v>
      </c>
      <c r="B159" s="225" t="s">
        <v>1212</v>
      </c>
      <c r="C159" s="225" t="s">
        <v>815</v>
      </c>
      <c r="D159" s="226">
        <v>31.4</v>
      </c>
      <c r="E159" s="225" t="s">
        <v>13</v>
      </c>
      <c r="F159" s="227">
        <v>75.0</v>
      </c>
      <c r="G159" s="227">
        <v>11.0</v>
      </c>
      <c r="H159" s="227">
        <v>22.0</v>
      </c>
      <c r="I159" s="227">
        <v>33.0</v>
      </c>
      <c r="J159" s="226">
        <v>0.44</v>
      </c>
      <c r="K159" s="226">
        <v>36.96</v>
      </c>
      <c r="L159" s="227">
        <v>87.0</v>
      </c>
      <c r="M159" s="226">
        <v>1.16</v>
      </c>
      <c r="N159" s="228">
        <v>0.12643678160919541</v>
      </c>
      <c r="O159" s="227">
        <v>10.0</v>
      </c>
      <c r="P159" s="226">
        <v>0.13333333333333333</v>
      </c>
      <c r="Q159" s="225" t="s">
        <v>1373</v>
      </c>
      <c r="R159" s="228">
        <v>0.469</v>
      </c>
      <c r="S159" s="225" t="s">
        <v>1063</v>
      </c>
      <c r="T159" s="227">
        <v>16.0</v>
      </c>
      <c r="U159" s="227">
        <v>18.0</v>
      </c>
      <c r="V159" s="226">
        <v>0.24</v>
      </c>
      <c r="W159" s="227">
        <v>35.0</v>
      </c>
      <c r="X159" s="226">
        <v>0.4666666666666667</v>
      </c>
      <c r="Y159" s="227"/>
      <c r="Z159" s="228"/>
      <c r="AA159" s="227"/>
      <c r="AB159" s="228">
        <v>0.001</v>
      </c>
      <c r="AC159" s="225"/>
      <c r="AD159" s="225"/>
      <c r="AE159" s="227"/>
      <c r="AF159" s="225" t="s">
        <v>864</v>
      </c>
      <c r="AG159" s="229"/>
    </row>
    <row r="160">
      <c r="A160" s="225" t="s">
        <v>185</v>
      </c>
      <c r="B160" s="225" t="s">
        <v>814</v>
      </c>
      <c r="C160" s="225" t="s">
        <v>59</v>
      </c>
      <c r="D160" s="226">
        <v>30.4</v>
      </c>
      <c r="E160" s="225" t="s">
        <v>13</v>
      </c>
      <c r="F160" s="227">
        <v>80.0</v>
      </c>
      <c r="G160" s="227">
        <v>18.0</v>
      </c>
      <c r="H160" s="227">
        <v>33.0</v>
      </c>
      <c r="I160" s="227">
        <v>51.0</v>
      </c>
      <c r="J160" s="226">
        <v>0.6375</v>
      </c>
      <c r="K160" s="226">
        <v>53.55</v>
      </c>
      <c r="L160" s="227">
        <v>151.0</v>
      </c>
      <c r="M160" s="226">
        <v>1.8875</v>
      </c>
      <c r="N160" s="228">
        <v>0.11920529801324503</v>
      </c>
      <c r="O160" s="227">
        <v>5.0</v>
      </c>
      <c r="P160" s="226">
        <v>0.0625</v>
      </c>
      <c r="Q160" s="225" t="s">
        <v>1374</v>
      </c>
      <c r="R160" s="228">
        <v>0.345</v>
      </c>
      <c r="S160" s="225" t="s">
        <v>1375</v>
      </c>
      <c r="T160" s="227">
        <v>27.0</v>
      </c>
      <c r="U160" s="227">
        <v>38.0</v>
      </c>
      <c r="V160" s="226">
        <v>0.475</v>
      </c>
      <c r="W160" s="227">
        <v>52.0</v>
      </c>
      <c r="X160" s="226">
        <v>0.65</v>
      </c>
      <c r="Y160" s="227"/>
      <c r="Z160" s="228"/>
      <c r="AA160" s="227"/>
      <c r="AB160" s="228">
        <v>0.401</v>
      </c>
      <c r="AC160" s="225"/>
      <c r="AD160" s="225"/>
      <c r="AE160" s="227"/>
      <c r="AF160" s="225" t="s">
        <v>456</v>
      </c>
      <c r="AG160" s="229"/>
    </row>
    <row r="161">
      <c r="A161" s="225" t="s">
        <v>185</v>
      </c>
      <c r="B161" s="225" t="s">
        <v>494</v>
      </c>
      <c r="C161" s="225" t="s">
        <v>815</v>
      </c>
      <c r="D161" s="226">
        <v>29.3</v>
      </c>
      <c r="E161" s="225" t="s">
        <v>815</v>
      </c>
      <c r="F161" s="227">
        <v>77.0</v>
      </c>
      <c r="G161" s="227">
        <v>27.0</v>
      </c>
      <c r="H161" s="227">
        <v>41.0</v>
      </c>
      <c r="I161" s="227">
        <v>68.0</v>
      </c>
      <c r="J161" s="226">
        <v>0.8831168831168831</v>
      </c>
      <c r="K161" s="226">
        <v>74.18181818181817</v>
      </c>
      <c r="L161" s="227">
        <v>168.0</v>
      </c>
      <c r="M161" s="226">
        <v>2.1818181818181817</v>
      </c>
      <c r="N161" s="228">
        <v>0.16071428571428573</v>
      </c>
      <c r="O161" s="227">
        <v>14.0</v>
      </c>
      <c r="P161" s="226">
        <v>0.18181818181818182</v>
      </c>
      <c r="Q161" s="225" t="s">
        <v>1376</v>
      </c>
      <c r="R161" s="228">
        <v>0.574</v>
      </c>
      <c r="S161" s="225" t="s">
        <v>1238</v>
      </c>
      <c r="T161" s="227">
        <v>59.0</v>
      </c>
      <c r="U161" s="227">
        <v>108.0</v>
      </c>
      <c r="V161" s="226">
        <v>1.4025974025974026</v>
      </c>
      <c r="W161" s="227">
        <v>38.0</v>
      </c>
      <c r="X161" s="226">
        <v>0.4935064935064935</v>
      </c>
      <c r="Y161" s="227"/>
      <c r="Z161" s="228"/>
      <c r="AA161" s="227"/>
      <c r="AB161" s="228">
        <v>0.177</v>
      </c>
      <c r="AC161" s="225"/>
      <c r="AD161" s="225"/>
      <c r="AE161" s="227"/>
      <c r="AF161" s="225" t="s">
        <v>1377</v>
      </c>
      <c r="AG161" s="229"/>
    </row>
    <row r="162">
      <c r="A162" s="225" t="s">
        <v>185</v>
      </c>
      <c r="B162" s="225" t="s">
        <v>582</v>
      </c>
      <c r="C162" s="225" t="s">
        <v>815</v>
      </c>
      <c r="D162" s="226">
        <v>21.5</v>
      </c>
      <c r="E162" s="225" t="s">
        <v>13</v>
      </c>
      <c r="F162" s="227">
        <v>81.0</v>
      </c>
      <c r="G162" s="227">
        <v>20.0</v>
      </c>
      <c r="H162" s="227">
        <v>31.0</v>
      </c>
      <c r="I162" s="227">
        <v>51.0</v>
      </c>
      <c r="J162" s="226">
        <v>0.6296296296296297</v>
      </c>
      <c r="K162" s="226">
        <v>52.88888888888889</v>
      </c>
      <c r="L162" s="227">
        <v>163.0</v>
      </c>
      <c r="M162" s="226">
        <v>2.0123456790123457</v>
      </c>
      <c r="N162" s="228">
        <v>0.12269938650306748</v>
      </c>
      <c r="O162" s="227">
        <v>12.0</v>
      </c>
      <c r="P162" s="226">
        <v>0.14814814814814814</v>
      </c>
      <c r="Q162" s="225" t="s">
        <v>1378</v>
      </c>
      <c r="R162" s="228">
        <v>0.47</v>
      </c>
      <c r="S162" s="225" t="s">
        <v>1379</v>
      </c>
      <c r="T162" s="227">
        <v>71.0</v>
      </c>
      <c r="U162" s="227">
        <v>33.0</v>
      </c>
      <c r="V162" s="226">
        <v>0.4074074074074074</v>
      </c>
      <c r="W162" s="227">
        <v>19.0</v>
      </c>
      <c r="X162" s="226">
        <v>0.2345679012345679</v>
      </c>
      <c r="Y162" s="227"/>
      <c r="Z162" s="228"/>
      <c r="AA162" s="227"/>
      <c r="AB162" s="228">
        <v>0.001</v>
      </c>
      <c r="AC162" s="225"/>
      <c r="AD162" s="225"/>
      <c r="AE162" s="227"/>
      <c r="AF162" s="225" t="s">
        <v>1380</v>
      </c>
      <c r="AG162" s="229"/>
    </row>
    <row r="163">
      <c r="A163" s="225" t="s">
        <v>185</v>
      </c>
      <c r="B163" s="225" t="s">
        <v>916</v>
      </c>
      <c r="C163" s="225" t="s">
        <v>59</v>
      </c>
      <c r="D163" s="226">
        <v>27.4</v>
      </c>
      <c r="E163" s="225" t="s">
        <v>13</v>
      </c>
      <c r="F163" s="227">
        <v>82.0</v>
      </c>
      <c r="G163" s="227">
        <v>18.0</v>
      </c>
      <c r="H163" s="227">
        <v>29.0</v>
      </c>
      <c r="I163" s="227">
        <v>47.0</v>
      </c>
      <c r="J163" s="226">
        <v>0.573170731707317</v>
      </c>
      <c r="K163" s="226">
        <v>48.14634146341463</v>
      </c>
      <c r="L163" s="227">
        <v>132.0</v>
      </c>
      <c r="M163" s="226">
        <v>1.6097560975609757</v>
      </c>
      <c r="N163" s="228">
        <v>0.13636363636363635</v>
      </c>
      <c r="O163" s="227">
        <v>9.0</v>
      </c>
      <c r="P163" s="226">
        <v>0.10975609756097561</v>
      </c>
      <c r="Q163" s="225" t="s">
        <v>1382</v>
      </c>
      <c r="R163" s="228">
        <v>0.428</v>
      </c>
      <c r="S163" s="225" t="s">
        <v>1383</v>
      </c>
      <c r="T163" s="227">
        <v>44.0</v>
      </c>
      <c r="U163" s="227">
        <v>102.0</v>
      </c>
      <c r="V163" s="226">
        <v>1.2439024390243902</v>
      </c>
      <c r="W163" s="227">
        <v>51.0</v>
      </c>
      <c r="X163" s="226">
        <v>0.6219512195121951</v>
      </c>
      <c r="Y163" s="227"/>
      <c r="Z163" s="228"/>
      <c r="AA163" s="227"/>
      <c r="AB163" s="228">
        <v>0.341</v>
      </c>
      <c r="AC163" s="225"/>
      <c r="AD163" s="225"/>
      <c r="AE163" s="227"/>
      <c r="AF163" s="225" t="s">
        <v>445</v>
      </c>
      <c r="AG163" s="229"/>
    </row>
    <row r="164">
      <c r="A164" s="225" t="s">
        <v>185</v>
      </c>
      <c r="B164" s="225" t="s">
        <v>772</v>
      </c>
      <c r="C164" s="225" t="s">
        <v>13</v>
      </c>
      <c r="D164" s="226">
        <v>27.3</v>
      </c>
      <c r="E164" s="225" t="s">
        <v>815</v>
      </c>
      <c r="F164" s="227">
        <v>81.0</v>
      </c>
      <c r="G164" s="227">
        <v>28.0</v>
      </c>
      <c r="H164" s="227">
        <v>23.0</v>
      </c>
      <c r="I164" s="227">
        <v>51.0</v>
      </c>
      <c r="J164" s="226">
        <v>0.6296296296296297</v>
      </c>
      <c r="K164" s="226">
        <v>52.88888888888889</v>
      </c>
      <c r="L164" s="227">
        <v>220.0</v>
      </c>
      <c r="M164" s="226">
        <v>2.7160493827160495</v>
      </c>
      <c r="N164" s="228">
        <v>0.12727272727272726</v>
      </c>
      <c r="O164" s="227">
        <v>7.0</v>
      </c>
      <c r="P164" s="226">
        <v>0.08641975308641975</v>
      </c>
      <c r="Q164" s="225" t="s">
        <v>1373</v>
      </c>
      <c r="R164" s="228">
        <v>0.456</v>
      </c>
      <c r="S164" s="225" t="s">
        <v>859</v>
      </c>
      <c r="T164" s="227">
        <v>32.0</v>
      </c>
      <c r="U164" s="227">
        <v>166.0</v>
      </c>
      <c r="V164" s="226">
        <v>2.049382716049383</v>
      </c>
      <c r="W164" s="227">
        <v>50.0</v>
      </c>
      <c r="X164" s="226">
        <v>0.6172839506172839</v>
      </c>
      <c r="Y164" s="227"/>
      <c r="Z164" s="228"/>
      <c r="AA164" s="227"/>
      <c r="AB164" s="228">
        <v>0.086</v>
      </c>
      <c r="AC164" s="225"/>
      <c r="AD164" s="225"/>
      <c r="AE164" s="227"/>
      <c r="AF164" s="225" t="s">
        <v>1385</v>
      </c>
      <c r="AG164" s="229"/>
    </row>
    <row r="165">
      <c r="A165" s="225" t="s">
        <v>185</v>
      </c>
      <c r="B165" s="225" t="s">
        <v>603</v>
      </c>
      <c r="C165" s="225" t="s">
        <v>59</v>
      </c>
      <c r="D165" s="226">
        <v>25.2</v>
      </c>
      <c r="E165" s="225" t="s">
        <v>13</v>
      </c>
      <c r="F165" s="227">
        <v>81.0</v>
      </c>
      <c r="G165" s="227">
        <v>26.0</v>
      </c>
      <c r="H165" s="227">
        <v>41.0</v>
      </c>
      <c r="I165" s="227">
        <v>67.0</v>
      </c>
      <c r="J165" s="226">
        <v>0.8271604938271605</v>
      </c>
      <c r="K165" s="226">
        <v>69.48148148148148</v>
      </c>
      <c r="L165" s="227">
        <v>167.0</v>
      </c>
      <c r="M165" s="226">
        <v>2.0617283950617282</v>
      </c>
      <c r="N165" s="228">
        <v>0.15568862275449102</v>
      </c>
      <c r="O165" s="227">
        <v>23.0</v>
      </c>
      <c r="P165" s="226">
        <v>0.2839506172839506</v>
      </c>
      <c r="Q165" s="225" t="s">
        <v>861</v>
      </c>
      <c r="R165" s="228">
        <v>0.614</v>
      </c>
      <c r="S165" s="225" t="s">
        <v>1372</v>
      </c>
      <c r="T165" s="227">
        <v>62.0</v>
      </c>
      <c r="U165" s="227">
        <v>46.0</v>
      </c>
      <c r="V165" s="226">
        <v>0.5679012345679012</v>
      </c>
      <c r="W165" s="227">
        <v>28.0</v>
      </c>
      <c r="X165" s="226">
        <v>0.345679012345679</v>
      </c>
      <c r="Y165" s="227"/>
      <c r="Z165" s="228"/>
      <c r="AA165" s="227"/>
      <c r="AB165" s="228">
        <v>0.006</v>
      </c>
      <c r="AC165" s="225"/>
      <c r="AD165" s="225"/>
      <c r="AE165" s="227"/>
      <c r="AF165" s="225" t="s">
        <v>856</v>
      </c>
      <c r="AG165" s="229"/>
    </row>
    <row r="166">
      <c r="A166" s="225" t="s">
        <v>185</v>
      </c>
      <c r="B166" s="225" t="s">
        <v>1202</v>
      </c>
      <c r="C166" s="225" t="s">
        <v>59</v>
      </c>
      <c r="D166" s="226">
        <v>33.5</v>
      </c>
      <c r="E166" s="225" t="s">
        <v>13</v>
      </c>
      <c r="F166" s="227">
        <v>78.0</v>
      </c>
      <c r="G166" s="227">
        <v>12.0</v>
      </c>
      <c r="H166" s="227">
        <v>24.0</v>
      </c>
      <c r="I166" s="227">
        <v>36.0</v>
      </c>
      <c r="J166" s="226">
        <v>0.46153846153846156</v>
      </c>
      <c r="K166" s="226">
        <v>38.769230769230774</v>
      </c>
      <c r="L166" s="227">
        <v>119.0</v>
      </c>
      <c r="M166" s="226">
        <v>1.5256410256410255</v>
      </c>
      <c r="N166" s="228">
        <v>0.10084033613445378</v>
      </c>
      <c r="O166" s="227">
        <v>1.0</v>
      </c>
      <c r="P166" s="226">
        <v>0.01282051282051282</v>
      </c>
      <c r="Q166" s="225" t="s">
        <v>1386</v>
      </c>
      <c r="R166" s="228">
        <v>0.18100000000000002</v>
      </c>
      <c r="S166" s="225" t="s">
        <v>979</v>
      </c>
      <c r="T166" s="227">
        <v>30.0</v>
      </c>
      <c r="U166" s="227">
        <v>100.0</v>
      </c>
      <c r="V166" s="226">
        <v>1.2820512820512822</v>
      </c>
      <c r="W166" s="227">
        <v>42.0</v>
      </c>
      <c r="X166" s="226">
        <v>0.5384615384615384</v>
      </c>
      <c r="Y166" s="227"/>
      <c r="Z166" s="228"/>
      <c r="AA166" s="227"/>
      <c r="AB166" s="228">
        <v>0.486</v>
      </c>
      <c r="AC166" s="225"/>
      <c r="AD166" s="225"/>
      <c r="AE166" s="227"/>
      <c r="AF166" s="225" t="s">
        <v>874</v>
      </c>
      <c r="AG166" s="229"/>
    </row>
    <row r="167">
      <c r="A167" s="225" t="s">
        <v>185</v>
      </c>
      <c r="B167" s="225" t="s">
        <v>931</v>
      </c>
      <c r="C167" s="225" t="s">
        <v>13</v>
      </c>
      <c r="D167" s="226">
        <v>24.4</v>
      </c>
      <c r="E167" s="225" t="s">
        <v>815</v>
      </c>
      <c r="F167" s="227">
        <v>29.0</v>
      </c>
      <c r="G167" s="227">
        <v>13.0</v>
      </c>
      <c r="H167" s="227">
        <v>4.0</v>
      </c>
      <c r="I167" s="227">
        <v>17.0</v>
      </c>
      <c r="J167" s="226">
        <v>0.5862068965517241</v>
      </c>
      <c r="K167" s="226">
        <v>49.241379310344826</v>
      </c>
      <c r="L167" s="227">
        <v>61.0</v>
      </c>
      <c r="M167" s="226">
        <v>2.103448275862069</v>
      </c>
      <c r="N167" s="228">
        <v>0.21311475409836064</v>
      </c>
      <c r="O167" s="227">
        <v>4.0</v>
      </c>
      <c r="P167" s="226">
        <v>0.13793103448275862</v>
      </c>
      <c r="Q167" s="225" t="s">
        <v>1373</v>
      </c>
      <c r="R167" s="228">
        <v>0.5</v>
      </c>
      <c r="S167" s="225" t="s">
        <v>1387</v>
      </c>
      <c r="T167" s="227">
        <v>22.0</v>
      </c>
      <c r="U167" s="227">
        <v>27.0</v>
      </c>
      <c r="V167" s="226">
        <v>0.9310344827586207</v>
      </c>
      <c r="W167" s="227">
        <v>25.0</v>
      </c>
      <c r="X167" s="226">
        <v>0.8620689655172413</v>
      </c>
      <c r="Y167" s="227"/>
      <c r="Z167" s="228"/>
      <c r="AA167" s="227"/>
      <c r="AB167" s="228">
        <v>0.24</v>
      </c>
      <c r="AC167" s="225"/>
      <c r="AD167" s="225"/>
      <c r="AE167" s="227"/>
      <c r="AF167" s="225" t="s">
        <v>205</v>
      </c>
      <c r="AG167" s="229"/>
    </row>
    <row r="168">
      <c r="A168" s="225" t="s">
        <v>185</v>
      </c>
      <c r="B168" s="225" t="s">
        <v>1366</v>
      </c>
      <c r="C168" s="225" t="s">
        <v>13</v>
      </c>
      <c r="D168" s="226">
        <v>22.6</v>
      </c>
      <c r="E168" s="225" t="s">
        <v>13</v>
      </c>
      <c r="F168" s="227">
        <v>17.0</v>
      </c>
      <c r="G168" s="227">
        <v>5.0</v>
      </c>
      <c r="H168" s="227">
        <v>4.0</v>
      </c>
      <c r="I168" s="227">
        <v>9.0</v>
      </c>
      <c r="J168" s="226">
        <v>0.5294117647058824</v>
      </c>
      <c r="K168" s="226">
        <v>44.470588235294116</v>
      </c>
      <c r="L168" s="227">
        <v>23.0</v>
      </c>
      <c r="M168" s="226">
        <v>1.3529411764705883</v>
      </c>
      <c r="N168" s="228">
        <v>0.21739130434782608</v>
      </c>
      <c r="O168" s="227">
        <v>0.0</v>
      </c>
      <c r="P168" s="226">
        <v>0.0</v>
      </c>
      <c r="Q168" s="225" t="s">
        <v>1388</v>
      </c>
      <c r="R168" s="228">
        <v>0.18899999999999997</v>
      </c>
      <c r="S168" s="225" t="s">
        <v>1389</v>
      </c>
      <c r="T168" s="227">
        <v>2.0</v>
      </c>
      <c r="U168" s="227">
        <v>16.0</v>
      </c>
      <c r="V168" s="226">
        <v>0.9411764705882353</v>
      </c>
      <c r="W168" s="227">
        <v>7.0</v>
      </c>
      <c r="X168" s="226">
        <v>0.4117647058823529</v>
      </c>
      <c r="Y168" s="227"/>
      <c r="Z168" s="228"/>
      <c r="AA168" s="227"/>
      <c r="AB168" s="228">
        <v>0.005</v>
      </c>
      <c r="AC168" s="225"/>
      <c r="AD168" s="225"/>
      <c r="AE168" s="227"/>
      <c r="AF168" s="225" t="s">
        <v>459</v>
      </c>
      <c r="AG168" s="229"/>
    </row>
    <row r="169">
      <c r="A169" s="225" t="s">
        <v>185</v>
      </c>
      <c r="B169" s="225" t="s">
        <v>1390</v>
      </c>
      <c r="C169" s="225" t="s">
        <v>815</v>
      </c>
      <c r="D169" s="226">
        <v>19.6</v>
      </c>
      <c r="E169" s="225" t="s">
        <v>815</v>
      </c>
      <c r="F169" s="227">
        <v>9.0</v>
      </c>
      <c r="G169" s="227">
        <v>4.0</v>
      </c>
      <c r="H169" s="227">
        <v>6.0</v>
      </c>
      <c r="I169" s="227">
        <v>10.0</v>
      </c>
      <c r="J169" s="226">
        <v>1.1111111111111112</v>
      </c>
      <c r="K169" s="226">
        <v>93.33333333333334</v>
      </c>
      <c r="L169" s="227">
        <v>32.0</v>
      </c>
      <c r="M169" s="226">
        <v>3.5555555555555554</v>
      </c>
      <c r="N169" s="228">
        <v>0.125</v>
      </c>
      <c r="O169" s="227">
        <v>4.0</v>
      </c>
      <c r="P169" s="226">
        <v>0.4444444444444444</v>
      </c>
      <c r="Q169" s="225" t="s">
        <v>1378</v>
      </c>
      <c r="R169" s="228">
        <v>0.504</v>
      </c>
      <c r="S169" s="225" t="s">
        <v>1368</v>
      </c>
      <c r="T169" s="227">
        <v>6.0</v>
      </c>
      <c r="U169" s="227">
        <v>16.0</v>
      </c>
      <c r="V169" s="226">
        <v>1.7777777777777777</v>
      </c>
      <c r="W169" s="227">
        <v>2.0</v>
      </c>
      <c r="X169" s="226">
        <v>0.2222222222222222</v>
      </c>
      <c r="Y169" s="227"/>
      <c r="Z169" s="228"/>
      <c r="AA169" s="227"/>
      <c r="AB169" s="228">
        <v>0.013999999999999999</v>
      </c>
      <c r="AC169" s="225"/>
      <c r="AD169" s="225"/>
      <c r="AE169" s="227"/>
      <c r="AF169" s="225" t="s">
        <v>1391</v>
      </c>
      <c r="AG169" s="229"/>
    </row>
    <row r="170">
      <c r="A170" s="225" t="s">
        <v>228</v>
      </c>
      <c r="B170" s="225" t="s">
        <v>642</v>
      </c>
      <c r="C170" s="225" t="s">
        <v>13</v>
      </c>
      <c r="D170" s="226">
        <v>25.4</v>
      </c>
      <c r="E170" s="225" t="s">
        <v>13</v>
      </c>
      <c r="F170" s="227">
        <v>72.0</v>
      </c>
      <c r="G170" s="227">
        <v>21.0</v>
      </c>
      <c r="H170" s="227">
        <v>21.0</v>
      </c>
      <c r="I170" s="227">
        <v>42.0</v>
      </c>
      <c r="J170" s="226">
        <v>0.5833333333333334</v>
      </c>
      <c r="K170" s="226">
        <v>49.0</v>
      </c>
      <c r="L170" s="227">
        <v>140.0</v>
      </c>
      <c r="M170" s="226">
        <v>1.9444444444444444</v>
      </c>
      <c r="N170" s="228">
        <v>0.15</v>
      </c>
      <c r="O170" s="227">
        <v>6.0</v>
      </c>
      <c r="P170" s="226">
        <v>0.08333333333333333</v>
      </c>
      <c r="Q170" s="225" t="s">
        <v>1332</v>
      </c>
      <c r="R170" s="228">
        <v>0.287</v>
      </c>
      <c r="S170" s="225" t="s">
        <v>1392</v>
      </c>
      <c r="T170" s="227">
        <v>10.0</v>
      </c>
      <c r="U170" s="227">
        <v>49.0</v>
      </c>
      <c r="V170" s="226">
        <v>0.6805555555555556</v>
      </c>
      <c r="W170" s="227">
        <v>31.0</v>
      </c>
      <c r="X170" s="226">
        <v>0.4305555555555556</v>
      </c>
      <c r="Y170" s="227"/>
      <c r="Z170" s="228"/>
      <c r="AA170" s="227"/>
      <c r="AB170" s="228">
        <v>0.0</v>
      </c>
      <c r="AC170" s="225"/>
      <c r="AD170" s="225"/>
      <c r="AE170" s="227"/>
      <c r="AF170" s="225" t="s">
        <v>1393</v>
      </c>
      <c r="AG170" s="229"/>
    </row>
    <row r="171">
      <c r="A171" s="225" t="s">
        <v>228</v>
      </c>
      <c r="B171" s="225" t="s">
        <v>598</v>
      </c>
      <c r="C171" s="225" t="s">
        <v>13</v>
      </c>
      <c r="D171" s="226">
        <v>33.1</v>
      </c>
      <c r="E171" s="225" t="s">
        <v>815</v>
      </c>
      <c r="F171" s="227">
        <v>60.0</v>
      </c>
      <c r="G171" s="227">
        <v>24.0</v>
      </c>
      <c r="H171" s="227">
        <v>24.0</v>
      </c>
      <c r="I171" s="227">
        <v>48.0</v>
      </c>
      <c r="J171" s="226">
        <v>0.8</v>
      </c>
      <c r="K171" s="226">
        <v>67.2</v>
      </c>
      <c r="L171" s="227">
        <v>166.0</v>
      </c>
      <c r="M171" s="226">
        <v>2.7666666666666666</v>
      </c>
      <c r="N171" s="228">
        <v>0.14457831325301204</v>
      </c>
      <c r="O171" s="227">
        <v>16.0</v>
      </c>
      <c r="P171" s="226">
        <v>0.26666666666666666</v>
      </c>
      <c r="Q171" s="225" t="s">
        <v>1253</v>
      </c>
      <c r="R171" s="228">
        <v>0.6890000000000001</v>
      </c>
      <c r="S171" s="225" t="s">
        <v>1033</v>
      </c>
      <c r="T171" s="227">
        <v>8.0</v>
      </c>
      <c r="U171" s="227">
        <v>71.0</v>
      </c>
      <c r="V171" s="226">
        <v>1.1833333333333333</v>
      </c>
      <c r="W171" s="227">
        <v>43.0</v>
      </c>
      <c r="X171" s="226">
        <v>0.7166666666666667</v>
      </c>
      <c r="Y171" s="227"/>
      <c r="Z171" s="228"/>
      <c r="AA171" s="227"/>
      <c r="AB171" s="228">
        <v>0.12300000000000001</v>
      </c>
      <c r="AC171" s="225"/>
      <c r="AD171" s="225"/>
      <c r="AE171" s="227"/>
      <c r="AF171" s="225" t="s">
        <v>349</v>
      </c>
      <c r="AG171" s="229"/>
    </row>
    <row r="172">
      <c r="A172" s="225" t="s">
        <v>228</v>
      </c>
      <c r="B172" s="225" t="s">
        <v>519</v>
      </c>
      <c r="C172" s="225" t="s">
        <v>815</v>
      </c>
      <c r="D172" s="226">
        <v>34.1</v>
      </c>
      <c r="E172" s="225" t="s">
        <v>815</v>
      </c>
      <c r="F172" s="227">
        <v>72.0</v>
      </c>
      <c r="G172" s="227">
        <v>29.0</v>
      </c>
      <c r="H172" s="227">
        <v>36.0</v>
      </c>
      <c r="I172" s="227">
        <v>65.0</v>
      </c>
      <c r="J172" s="226">
        <v>0.9027777777777778</v>
      </c>
      <c r="K172" s="226">
        <v>75.83333333333333</v>
      </c>
      <c r="L172" s="227">
        <v>183.0</v>
      </c>
      <c r="M172" s="226">
        <v>2.5416666666666665</v>
      </c>
      <c r="N172" s="228">
        <v>0.15846994535519127</v>
      </c>
      <c r="O172" s="227">
        <v>24.0</v>
      </c>
      <c r="P172" s="226">
        <v>0.3333333333333333</v>
      </c>
      <c r="Q172" s="225" t="s">
        <v>1394</v>
      </c>
      <c r="R172" s="228">
        <v>0.6990000000000001</v>
      </c>
      <c r="S172" s="225" t="s">
        <v>1395</v>
      </c>
      <c r="T172" s="227">
        <v>26.0</v>
      </c>
      <c r="U172" s="227">
        <v>35.0</v>
      </c>
      <c r="V172" s="226">
        <v>0.4861111111111111</v>
      </c>
      <c r="W172" s="227">
        <v>71.0</v>
      </c>
      <c r="X172" s="226">
        <v>0.9861111111111112</v>
      </c>
      <c r="Y172" s="227"/>
      <c r="Z172" s="228"/>
      <c r="AA172" s="227"/>
      <c r="AB172" s="228">
        <v>0.332</v>
      </c>
      <c r="AC172" s="225"/>
      <c r="AD172" s="225"/>
      <c r="AE172" s="227"/>
      <c r="AF172" s="225" t="s">
        <v>1154</v>
      </c>
      <c r="AG172" s="229"/>
    </row>
    <row r="173">
      <c r="A173" s="225" t="s">
        <v>228</v>
      </c>
      <c r="B173" s="225" t="s">
        <v>1099</v>
      </c>
      <c r="C173" s="225" t="s">
        <v>59</v>
      </c>
      <c r="D173" s="226">
        <v>29.1</v>
      </c>
      <c r="E173" s="225" t="s">
        <v>13</v>
      </c>
      <c r="F173" s="227">
        <v>82.0</v>
      </c>
      <c r="G173" s="227">
        <v>16.0</v>
      </c>
      <c r="H173" s="227">
        <v>26.0</v>
      </c>
      <c r="I173" s="227">
        <v>42.0</v>
      </c>
      <c r="J173" s="226">
        <v>0.5121951219512195</v>
      </c>
      <c r="K173" s="226">
        <v>43.02439024390244</v>
      </c>
      <c r="L173" s="227">
        <v>130.0</v>
      </c>
      <c r="M173" s="226">
        <v>1.5853658536585367</v>
      </c>
      <c r="N173" s="228">
        <v>0.12307692307692308</v>
      </c>
      <c r="O173" s="227">
        <v>7.0</v>
      </c>
      <c r="P173" s="226">
        <v>0.08536585365853659</v>
      </c>
      <c r="Q173" s="225" t="s">
        <v>1396</v>
      </c>
      <c r="R173" s="228">
        <v>0.253</v>
      </c>
      <c r="S173" s="225" t="s">
        <v>1397</v>
      </c>
      <c r="T173" s="227">
        <v>24.0</v>
      </c>
      <c r="U173" s="227">
        <v>12.0</v>
      </c>
      <c r="V173" s="226">
        <v>0.14634146341463414</v>
      </c>
      <c r="W173" s="227">
        <v>34.0</v>
      </c>
      <c r="X173" s="226">
        <v>0.4146341463414634</v>
      </c>
      <c r="Y173" s="227"/>
      <c r="Z173" s="228"/>
      <c r="AA173" s="227"/>
      <c r="AB173" s="228">
        <v>0.001</v>
      </c>
      <c r="AC173" s="225"/>
      <c r="AD173" s="225"/>
      <c r="AE173" s="227"/>
      <c r="AF173" s="225" t="s">
        <v>419</v>
      </c>
      <c r="AG173" s="229"/>
    </row>
    <row r="174">
      <c r="A174" s="225" t="s">
        <v>228</v>
      </c>
      <c r="B174" s="225" t="s">
        <v>630</v>
      </c>
      <c r="C174" s="225" t="s">
        <v>815</v>
      </c>
      <c r="D174" s="226">
        <v>39.9</v>
      </c>
      <c r="E174" s="225" t="s">
        <v>13</v>
      </c>
      <c r="F174" s="227">
        <v>56.0</v>
      </c>
      <c r="G174" s="227">
        <v>19.0</v>
      </c>
      <c r="H174" s="227">
        <v>42.0</v>
      </c>
      <c r="I174" s="227">
        <v>61.0</v>
      </c>
      <c r="J174" s="226">
        <v>1.0892857142857142</v>
      </c>
      <c r="K174" s="226">
        <v>91.49999999999999</v>
      </c>
      <c r="L174" s="227">
        <v>148.0</v>
      </c>
      <c r="M174" s="226">
        <v>2.642857142857143</v>
      </c>
      <c r="N174" s="228">
        <v>0.12837837837837837</v>
      </c>
      <c r="O174" s="227">
        <v>22.0</v>
      </c>
      <c r="P174" s="226">
        <v>0.39285714285714285</v>
      </c>
      <c r="Q174" s="225" t="s">
        <v>938</v>
      </c>
      <c r="R174" s="228">
        <v>0.713</v>
      </c>
      <c r="S174" s="225" t="s">
        <v>1338</v>
      </c>
      <c r="T174" s="227">
        <v>61.0</v>
      </c>
      <c r="U174" s="227">
        <v>24.0</v>
      </c>
      <c r="V174" s="226">
        <v>0.42857142857142855</v>
      </c>
      <c r="W174" s="227">
        <v>17.0</v>
      </c>
      <c r="X174" s="226">
        <v>0.30357142857142855</v>
      </c>
      <c r="Y174" s="227"/>
      <c r="Z174" s="228"/>
      <c r="AA174" s="227"/>
      <c r="AB174" s="228">
        <v>0.001</v>
      </c>
      <c r="AC174" s="225"/>
      <c r="AD174" s="225"/>
      <c r="AE174" s="227"/>
      <c r="AF174" s="225" t="s">
        <v>1222</v>
      </c>
      <c r="AG174" s="229"/>
    </row>
    <row r="175">
      <c r="A175" s="225" t="s">
        <v>228</v>
      </c>
      <c r="B175" s="225" t="s">
        <v>733</v>
      </c>
      <c r="C175" s="225" t="s">
        <v>59</v>
      </c>
      <c r="D175" s="226">
        <v>19.2</v>
      </c>
      <c r="E175" s="225" t="s">
        <v>815</v>
      </c>
      <c r="F175" s="227">
        <v>77.0</v>
      </c>
      <c r="G175" s="227">
        <v>17.0</v>
      </c>
      <c r="H175" s="227">
        <v>18.0</v>
      </c>
      <c r="I175" s="227">
        <v>35.0</v>
      </c>
      <c r="J175" s="226">
        <v>0.45454545454545453</v>
      </c>
      <c r="K175" s="226">
        <v>38.18181818181818</v>
      </c>
      <c r="L175" s="227">
        <v>151.0</v>
      </c>
      <c r="M175" s="226">
        <v>1.9610389610389611</v>
      </c>
      <c r="N175" s="228">
        <v>0.11258278145695365</v>
      </c>
      <c r="O175" s="227">
        <v>10.0</v>
      </c>
      <c r="P175" s="226">
        <v>0.12987012987012986</v>
      </c>
      <c r="Q175" s="225" t="s">
        <v>1398</v>
      </c>
      <c r="R175" s="228">
        <v>0.381</v>
      </c>
      <c r="S175" s="225" t="s">
        <v>1399</v>
      </c>
      <c r="T175" s="227">
        <v>18.0</v>
      </c>
      <c r="U175" s="227">
        <v>30.0</v>
      </c>
      <c r="V175" s="226">
        <v>0.38961038961038963</v>
      </c>
      <c r="W175" s="227">
        <v>58.0</v>
      </c>
      <c r="X175" s="226">
        <v>0.7532467532467533</v>
      </c>
      <c r="Y175" s="227"/>
      <c r="Z175" s="228"/>
      <c r="AA175" s="227"/>
      <c r="AB175" s="228">
        <v>0.13</v>
      </c>
      <c r="AC175" s="225"/>
      <c r="AD175" s="225"/>
      <c r="AE175" s="227"/>
      <c r="AF175" s="225" t="s">
        <v>1331</v>
      </c>
      <c r="AG175" s="229"/>
    </row>
    <row r="176">
      <c r="A176" s="225" t="s">
        <v>228</v>
      </c>
      <c r="B176" s="225" t="s">
        <v>1158</v>
      </c>
      <c r="C176" s="225" t="s">
        <v>815</v>
      </c>
      <c r="D176" s="226">
        <v>28.4</v>
      </c>
      <c r="E176" s="225" t="s">
        <v>815</v>
      </c>
      <c r="F176" s="227">
        <v>64.0</v>
      </c>
      <c r="G176" s="227">
        <v>17.0</v>
      </c>
      <c r="H176" s="227">
        <v>17.0</v>
      </c>
      <c r="I176" s="227">
        <v>34.0</v>
      </c>
      <c r="J176" s="226">
        <v>0.53125</v>
      </c>
      <c r="K176" s="226">
        <v>44.625</v>
      </c>
      <c r="L176" s="227">
        <v>104.0</v>
      </c>
      <c r="M176" s="226">
        <v>1.625</v>
      </c>
      <c r="N176" s="228">
        <v>0.16346153846153846</v>
      </c>
      <c r="O176" s="227">
        <v>5.0</v>
      </c>
      <c r="P176" s="226">
        <v>0.078125</v>
      </c>
      <c r="Q176" s="225" t="s">
        <v>1288</v>
      </c>
      <c r="R176" s="228">
        <v>0.22</v>
      </c>
      <c r="S176" s="225" t="s">
        <v>1400</v>
      </c>
      <c r="T176" s="227">
        <v>14.0</v>
      </c>
      <c r="U176" s="227">
        <v>90.0</v>
      </c>
      <c r="V176" s="226">
        <v>1.40625</v>
      </c>
      <c r="W176" s="227">
        <v>44.0</v>
      </c>
      <c r="X176" s="226">
        <v>0.6875</v>
      </c>
      <c r="Y176" s="227"/>
      <c r="Z176" s="228"/>
      <c r="AA176" s="227"/>
      <c r="AB176" s="228">
        <v>0.001</v>
      </c>
      <c r="AC176" s="225"/>
      <c r="AD176" s="225"/>
      <c r="AE176" s="227"/>
      <c r="AF176" s="225" t="s">
        <v>221</v>
      </c>
      <c r="AG176" s="229"/>
    </row>
    <row r="177">
      <c r="A177" s="225" t="s">
        <v>228</v>
      </c>
      <c r="B177" s="225" t="s">
        <v>1321</v>
      </c>
      <c r="C177" s="225" t="s">
        <v>13</v>
      </c>
      <c r="D177" s="226">
        <v>22.2</v>
      </c>
      <c r="E177" s="225" t="s">
        <v>13</v>
      </c>
      <c r="F177" s="227">
        <v>24.0</v>
      </c>
      <c r="G177" s="227">
        <v>3.0</v>
      </c>
      <c r="H177" s="227">
        <v>3.0</v>
      </c>
      <c r="I177" s="227">
        <v>6.0</v>
      </c>
      <c r="J177" s="226">
        <v>0.25</v>
      </c>
      <c r="K177" s="226">
        <v>21.0</v>
      </c>
      <c r="L177" s="227">
        <v>37.0</v>
      </c>
      <c r="M177" s="226">
        <v>1.5416666666666667</v>
      </c>
      <c r="N177" s="228">
        <v>0.08108108108108109</v>
      </c>
      <c r="O177" s="227">
        <v>0.0</v>
      </c>
      <c r="P177" s="226">
        <v>0.0</v>
      </c>
      <c r="Q177" s="225" t="s">
        <v>1401</v>
      </c>
      <c r="R177" s="228">
        <v>0.035</v>
      </c>
      <c r="S177" s="225" t="s">
        <v>1402</v>
      </c>
      <c r="T177" s="227">
        <v>4.0</v>
      </c>
      <c r="U177" s="227">
        <v>26.0</v>
      </c>
      <c r="V177" s="226">
        <v>1.0833333333333333</v>
      </c>
      <c r="W177" s="227">
        <v>8.0</v>
      </c>
      <c r="X177" s="226">
        <v>0.3333333333333333</v>
      </c>
      <c r="Y177" s="227"/>
      <c r="Z177" s="228"/>
      <c r="AA177" s="227"/>
      <c r="AB177" s="228">
        <v>0.049</v>
      </c>
      <c r="AC177" s="225"/>
      <c r="AD177" s="225"/>
      <c r="AE177" s="227"/>
      <c r="AF177" s="225" t="s">
        <v>459</v>
      </c>
      <c r="AG177" s="229"/>
    </row>
    <row r="178">
      <c r="A178" s="225" t="s">
        <v>228</v>
      </c>
      <c r="B178" s="225" t="s">
        <v>353</v>
      </c>
      <c r="C178" s="225" t="s">
        <v>59</v>
      </c>
      <c r="D178" s="226">
        <v>38.9</v>
      </c>
      <c r="E178" s="225" t="s">
        <v>13</v>
      </c>
      <c r="F178" s="227">
        <v>68.0</v>
      </c>
      <c r="G178" s="227">
        <v>29.0</v>
      </c>
      <c r="H178" s="227">
        <v>45.0</v>
      </c>
      <c r="I178" s="227">
        <v>74.0</v>
      </c>
      <c r="J178" s="226">
        <v>1.088235294117647</v>
      </c>
      <c r="K178" s="226">
        <v>91.41176470588235</v>
      </c>
      <c r="L178" s="227">
        <v>160.0</v>
      </c>
      <c r="M178" s="226">
        <v>2.3529411764705883</v>
      </c>
      <c r="N178" s="228">
        <v>0.18125</v>
      </c>
      <c r="O178" s="227">
        <v>23.0</v>
      </c>
      <c r="P178" s="226">
        <v>0.3382352941176471</v>
      </c>
      <c r="Q178" s="225" t="s">
        <v>1403</v>
      </c>
      <c r="R178" s="228">
        <v>0.7070000000000001</v>
      </c>
      <c r="S178" s="225" t="s">
        <v>1404</v>
      </c>
      <c r="T178" s="227">
        <v>44.0</v>
      </c>
      <c r="U178" s="227">
        <v>60.0</v>
      </c>
      <c r="V178" s="226">
        <v>0.8823529411764706</v>
      </c>
      <c r="W178" s="227">
        <v>30.0</v>
      </c>
      <c r="X178" s="226">
        <v>0.4411764705882353</v>
      </c>
      <c r="Y178" s="227"/>
      <c r="Z178" s="228"/>
      <c r="AA178" s="227"/>
      <c r="AB178" s="228">
        <v>0.008</v>
      </c>
      <c r="AC178" s="225"/>
      <c r="AD178" s="225"/>
      <c r="AE178" s="227"/>
      <c r="AF178" s="225" t="s">
        <v>1116</v>
      </c>
      <c r="AG178" s="229"/>
    </row>
    <row r="179">
      <c r="A179" s="225" t="s">
        <v>228</v>
      </c>
      <c r="B179" s="225" t="s">
        <v>1052</v>
      </c>
      <c r="C179" s="225" t="s">
        <v>815</v>
      </c>
      <c r="D179" s="226">
        <v>30.4</v>
      </c>
      <c r="E179" s="225" t="s">
        <v>815</v>
      </c>
      <c r="F179" s="227">
        <v>52.0</v>
      </c>
      <c r="G179" s="227">
        <v>13.0</v>
      </c>
      <c r="H179" s="227">
        <v>12.0</v>
      </c>
      <c r="I179" s="227">
        <v>25.0</v>
      </c>
      <c r="J179" s="226">
        <v>0.4807692307692308</v>
      </c>
      <c r="K179" s="226">
        <v>40.38461538461539</v>
      </c>
      <c r="L179" s="227">
        <v>69.0</v>
      </c>
      <c r="M179" s="226">
        <v>1.3269230769230769</v>
      </c>
      <c r="N179" s="228">
        <v>0.18840579710144928</v>
      </c>
      <c r="O179" s="227">
        <v>13.0</v>
      </c>
      <c r="P179" s="226">
        <v>0.25</v>
      </c>
      <c r="Q179" s="225" t="s">
        <v>861</v>
      </c>
      <c r="R179" s="228">
        <v>0.608</v>
      </c>
      <c r="S179" s="225" t="s">
        <v>1405</v>
      </c>
      <c r="T179" s="227">
        <v>16.0</v>
      </c>
      <c r="U179" s="227">
        <v>18.0</v>
      </c>
      <c r="V179" s="226">
        <v>0.34615384615384615</v>
      </c>
      <c r="W179" s="227">
        <v>14.0</v>
      </c>
      <c r="X179" s="226">
        <v>0.2692307692307692</v>
      </c>
      <c r="Y179" s="227"/>
      <c r="Z179" s="228"/>
      <c r="AA179" s="227"/>
      <c r="AB179" s="228">
        <v>0.0</v>
      </c>
      <c r="AC179" s="225"/>
      <c r="AD179" s="225"/>
      <c r="AE179" s="227"/>
      <c r="AF179" s="225" t="s">
        <v>1406</v>
      </c>
      <c r="AG179" s="229"/>
    </row>
    <row r="180">
      <c r="A180" s="225" t="s">
        <v>269</v>
      </c>
      <c r="B180" s="225" t="s">
        <v>1407</v>
      </c>
      <c r="C180" s="225" t="s">
        <v>13</v>
      </c>
      <c r="D180" s="226">
        <v>30.0</v>
      </c>
      <c r="E180" s="225" t="s">
        <v>13</v>
      </c>
      <c r="F180" s="227">
        <v>78.0</v>
      </c>
      <c r="G180" s="227">
        <v>29.0</v>
      </c>
      <c r="H180" s="227">
        <v>17.0</v>
      </c>
      <c r="I180" s="227">
        <v>46.0</v>
      </c>
      <c r="J180" s="226">
        <v>0.5897435897435898</v>
      </c>
      <c r="K180" s="226">
        <v>49.53846153846154</v>
      </c>
      <c r="L180" s="227">
        <v>183.0</v>
      </c>
      <c r="M180" s="226">
        <v>2.3461538461538463</v>
      </c>
      <c r="N180" s="228">
        <v>0.15846994535519127</v>
      </c>
      <c r="O180" s="227">
        <v>6.0</v>
      </c>
      <c r="P180" s="226">
        <v>0.07692307692307693</v>
      </c>
      <c r="Q180" s="225" t="s">
        <v>843</v>
      </c>
      <c r="R180" s="228">
        <v>0.24600000000000002</v>
      </c>
      <c r="S180" s="225" t="s">
        <v>1408</v>
      </c>
      <c r="T180" s="227">
        <v>42.0</v>
      </c>
      <c r="U180" s="227">
        <v>165.0</v>
      </c>
      <c r="V180" s="226">
        <v>2.1153846153846154</v>
      </c>
      <c r="W180" s="227">
        <v>27.0</v>
      </c>
      <c r="X180" s="226">
        <v>0.34615384615384615</v>
      </c>
      <c r="Y180" s="227"/>
      <c r="Z180" s="228"/>
      <c r="AA180" s="227"/>
      <c r="AB180" s="228">
        <v>0.043</v>
      </c>
      <c r="AC180" s="225"/>
      <c r="AD180" s="225"/>
      <c r="AE180" s="227"/>
      <c r="AF180" s="225" t="s">
        <v>856</v>
      </c>
      <c r="AG180" s="229"/>
    </row>
    <row r="181">
      <c r="A181" s="225" t="s">
        <v>269</v>
      </c>
      <c r="B181" s="225" t="s">
        <v>759</v>
      </c>
      <c r="C181" s="225" t="s">
        <v>59</v>
      </c>
      <c r="D181" s="226">
        <v>23.6</v>
      </c>
      <c r="E181" s="225" t="s">
        <v>13</v>
      </c>
      <c r="F181" s="227">
        <v>82.0</v>
      </c>
      <c r="G181" s="227">
        <v>20.0</v>
      </c>
      <c r="H181" s="227">
        <v>30.0</v>
      </c>
      <c r="I181" s="227">
        <v>50.0</v>
      </c>
      <c r="J181" s="226">
        <v>0.6097560975609756</v>
      </c>
      <c r="K181" s="226">
        <v>51.21951219512195</v>
      </c>
      <c r="L181" s="227">
        <v>149.0</v>
      </c>
      <c r="M181" s="226">
        <v>1.8170731707317074</v>
      </c>
      <c r="N181" s="228">
        <v>0.1342281879194631</v>
      </c>
      <c r="O181" s="227">
        <v>11.0</v>
      </c>
      <c r="P181" s="226">
        <v>0.13414634146341464</v>
      </c>
      <c r="Q181" s="225" t="s">
        <v>1409</v>
      </c>
      <c r="R181" s="228">
        <v>0.603</v>
      </c>
      <c r="S181" s="225" t="s">
        <v>1410</v>
      </c>
      <c r="T181" s="227">
        <v>23.0</v>
      </c>
      <c r="U181" s="227">
        <v>31.0</v>
      </c>
      <c r="V181" s="226">
        <v>0.3780487804878049</v>
      </c>
      <c r="W181" s="227">
        <v>69.0</v>
      </c>
      <c r="X181" s="226">
        <v>0.8414634146341463</v>
      </c>
      <c r="Y181" s="227"/>
      <c r="Z181" s="228"/>
      <c r="AA181" s="227"/>
      <c r="AB181" s="228">
        <v>0.133</v>
      </c>
      <c r="AC181" s="225"/>
      <c r="AD181" s="225"/>
      <c r="AE181" s="227"/>
      <c r="AF181" s="225" t="s">
        <v>889</v>
      </c>
      <c r="AG181" s="229"/>
    </row>
    <row r="182">
      <c r="A182" s="225" t="s">
        <v>269</v>
      </c>
      <c r="B182" s="225" t="s">
        <v>763</v>
      </c>
      <c r="C182" s="225" t="s">
        <v>815</v>
      </c>
      <c r="D182" s="226">
        <v>36.1</v>
      </c>
      <c r="E182" s="225" t="s">
        <v>815</v>
      </c>
      <c r="F182" s="227">
        <v>80.0</v>
      </c>
      <c r="G182" s="227">
        <v>26.0</v>
      </c>
      <c r="H182" s="227">
        <v>29.0</v>
      </c>
      <c r="I182" s="227">
        <v>55.0</v>
      </c>
      <c r="J182" s="226">
        <v>0.6875</v>
      </c>
      <c r="K182" s="226">
        <v>57.75</v>
      </c>
      <c r="L182" s="227">
        <v>168.0</v>
      </c>
      <c r="M182" s="226">
        <v>2.1</v>
      </c>
      <c r="N182" s="228">
        <v>0.15476190476190477</v>
      </c>
      <c r="O182" s="227">
        <v>16.0</v>
      </c>
      <c r="P182" s="226">
        <v>0.2</v>
      </c>
      <c r="Q182" s="225" t="s">
        <v>974</v>
      </c>
      <c r="R182" s="228">
        <v>0.606</v>
      </c>
      <c r="S182" s="225" t="s">
        <v>1077</v>
      </c>
      <c r="T182" s="227">
        <v>28.0</v>
      </c>
      <c r="U182" s="227">
        <v>55.0</v>
      </c>
      <c r="V182" s="226">
        <v>0.6875</v>
      </c>
      <c r="W182" s="227">
        <v>43.0</v>
      </c>
      <c r="X182" s="226">
        <v>0.5375</v>
      </c>
      <c r="Y182" s="227"/>
      <c r="Z182" s="228"/>
      <c r="AA182" s="227"/>
      <c r="AB182" s="228">
        <v>0.016</v>
      </c>
      <c r="AC182" s="225"/>
      <c r="AD182" s="225"/>
      <c r="AE182" s="227"/>
      <c r="AF182" s="225" t="s">
        <v>68</v>
      </c>
      <c r="AG182" s="229"/>
    </row>
    <row r="183">
      <c r="A183" s="225" t="s">
        <v>269</v>
      </c>
      <c r="B183" s="225" t="s">
        <v>682</v>
      </c>
      <c r="C183" s="225" t="s">
        <v>13</v>
      </c>
      <c r="D183" s="226">
        <v>30.0</v>
      </c>
      <c r="E183" s="225" t="s">
        <v>13</v>
      </c>
      <c r="F183" s="227">
        <v>52.0</v>
      </c>
      <c r="G183" s="227">
        <v>20.0</v>
      </c>
      <c r="H183" s="227">
        <v>20.0</v>
      </c>
      <c r="I183" s="227">
        <v>40.0</v>
      </c>
      <c r="J183" s="226">
        <v>0.7692307692307693</v>
      </c>
      <c r="K183" s="226">
        <v>64.61538461538461</v>
      </c>
      <c r="L183" s="227">
        <v>117.0</v>
      </c>
      <c r="M183" s="226">
        <v>2.25</v>
      </c>
      <c r="N183" s="228">
        <v>0.17094017094017094</v>
      </c>
      <c r="O183" s="227">
        <v>13.0</v>
      </c>
      <c r="P183" s="226">
        <v>0.25</v>
      </c>
      <c r="Q183" s="225" t="s">
        <v>1411</v>
      </c>
      <c r="R183" s="228">
        <v>0.597</v>
      </c>
      <c r="S183" s="225" t="s">
        <v>1412</v>
      </c>
      <c r="T183" s="227">
        <v>11.0</v>
      </c>
      <c r="U183" s="227">
        <v>40.0</v>
      </c>
      <c r="V183" s="226">
        <v>0.7692307692307693</v>
      </c>
      <c r="W183" s="227">
        <v>25.0</v>
      </c>
      <c r="X183" s="226">
        <v>0.4807692307692308</v>
      </c>
      <c r="Y183" s="227"/>
      <c r="Z183" s="228"/>
      <c r="AA183" s="227"/>
      <c r="AB183" s="228">
        <v>0.027000000000000003</v>
      </c>
      <c r="AC183" s="225"/>
      <c r="AD183" s="225"/>
      <c r="AE183" s="227"/>
      <c r="AF183" s="225" t="s">
        <v>349</v>
      </c>
      <c r="AG183" s="229"/>
    </row>
    <row r="184">
      <c r="A184" s="225" t="s">
        <v>269</v>
      </c>
      <c r="B184" s="225" t="s">
        <v>855</v>
      </c>
      <c r="C184" s="225" t="s">
        <v>59</v>
      </c>
      <c r="D184" s="226">
        <v>32.2</v>
      </c>
      <c r="E184" s="225" t="s">
        <v>13</v>
      </c>
      <c r="F184" s="227">
        <v>80.0</v>
      </c>
      <c r="G184" s="227">
        <v>16.0</v>
      </c>
      <c r="H184" s="227">
        <v>33.0</v>
      </c>
      <c r="I184" s="227">
        <v>49.0</v>
      </c>
      <c r="J184" s="226">
        <v>0.6125</v>
      </c>
      <c r="K184" s="226">
        <v>51.45</v>
      </c>
      <c r="L184" s="227">
        <v>93.0</v>
      </c>
      <c r="M184" s="226">
        <v>1.1625</v>
      </c>
      <c r="N184" s="228">
        <v>0.17204301075268819</v>
      </c>
      <c r="O184" s="227">
        <v>16.0</v>
      </c>
      <c r="P184" s="226">
        <v>0.2</v>
      </c>
      <c r="Q184" s="225" t="s">
        <v>974</v>
      </c>
      <c r="R184" s="228">
        <v>0.604</v>
      </c>
      <c r="S184" s="225" t="s">
        <v>1413</v>
      </c>
      <c r="T184" s="227">
        <v>14.0</v>
      </c>
      <c r="U184" s="227">
        <v>20.0</v>
      </c>
      <c r="V184" s="226">
        <v>0.25</v>
      </c>
      <c r="W184" s="227">
        <v>56.0</v>
      </c>
      <c r="X184" s="226">
        <v>0.7</v>
      </c>
      <c r="Y184" s="227"/>
      <c r="Z184" s="228"/>
      <c r="AA184" s="227"/>
      <c r="AB184" s="228">
        <v>0.447</v>
      </c>
      <c r="AC184" s="225"/>
      <c r="AD184" s="225"/>
      <c r="AE184" s="227"/>
      <c r="AF184" s="225" t="s">
        <v>469</v>
      </c>
      <c r="AG184" s="229"/>
    </row>
    <row r="185">
      <c r="A185" s="225" t="s">
        <v>269</v>
      </c>
      <c r="B185" s="225" t="s">
        <v>1166</v>
      </c>
      <c r="C185" s="225" t="s">
        <v>815</v>
      </c>
      <c r="D185" s="226">
        <v>25.3</v>
      </c>
      <c r="E185" s="225" t="s">
        <v>13</v>
      </c>
      <c r="F185" s="227">
        <v>65.0</v>
      </c>
      <c r="G185" s="227">
        <v>13.0</v>
      </c>
      <c r="H185" s="227">
        <v>27.0</v>
      </c>
      <c r="I185" s="227">
        <v>40.0</v>
      </c>
      <c r="J185" s="226">
        <v>0.6153846153846154</v>
      </c>
      <c r="K185" s="226">
        <v>51.69230769230769</v>
      </c>
      <c r="L185" s="227">
        <v>78.0</v>
      </c>
      <c r="M185" s="226">
        <v>1.2</v>
      </c>
      <c r="N185" s="228">
        <v>0.16666666666666666</v>
      </c>
      <c r="O185" s="227">
        <v>8.0</v>
      </c>
      <c r="P185" s="226">
        <v>0.12307692307692308</v>
      </c>
      <c r="Q185" s="225" t="s">
        <v>1008</v>
      </c>
      <c r="R185" s="228">
        <v>0.33899999999999997</v>
      </c>
      <c r="S185" s="225" t="s">
        <v>1414</v>
      </c>
      <c r="T185" s="227">
        <v>14.0</v>
      </c>
      <c r="U185" s="227">
        <v>30.0</v>
      </c>
      <c r="V185" s="226">
        <v>0.46153846153846156</v>
      </c>
      <c r="W185" s="227">
        <v>12.0</v>
      </c>
      <c r="X185" s="226">
        <v>0.18461538461538463</v>
      </c>
      <c r="Y185" s="227"/>
      <c r="Z185" s="228"/>
      <c r="AA185" s="227"/>
      <c r="AB185" s="228">
        <v>0.002</v>
      </c>
      <c r="AC185" s="225"/>
      <c r="AD185" s="225"/>
      <c r="AE185" s="227"/>
      <c r="AF185" s="225" t="s">
        <v>1415</v>
      </c>
      <c r="AG185" s="229"/>
    </row>
    <row r="186">
      <c r="A186" s="225" t="s">
        <v>269</v>
      </c>
      <c r="B186" s="225" t="s">
        <v>1273</v>
      </c>
      <c r="C186" s="225" t="s">
        <v>13</v>
      </c>
      <c r="D186" s="226">
        <v>20.4</v>
      </c>
      <c r="E186" s="225" t="s">
        <v>13</v>
      </c>
      <c r="F186" s="227">
        <v>66.0</v>
      </c>
      <c r="G186" s="227">
        <v>7.0</v>
      </c>
      <c r="H186" s="227">
        <v>10.0</v>
      </c>
      <c r="I186" s="227">
        <v>17.0</v>
      </c>
      <c r="J186" s="226">
        <v>0.25757575757575757</v>
      </c>
      <c r="K186" s="226">
        <v>21.636363636363637</v>
      </c>
      <c r="L186" s="227">
        <v>78.0</v>
      </c>
      <c r="M186" s="226">
        <v>1.1818181818181819</v>
      </c>
      <c r="N186" s="228">
        <v>0.08974358974358974</v>
      </c>
      <c r="O186" s="227">
        <v>2.0</v>
      </c>
      <c r="P186" s="226">
        <v>0.030303030303030304</v>
      </c>
      <c r="Q186" s="225" t="s">
        <v>1416</v>
      </c>
      <c r="R186" s="228">
        <v>0.196</v>
      </c>
      <c r="S186" s="225" t="s">
        <v>1417</v>
      </c>
      <c r="T186" s="227">
        <v>31.0</v>
      </c>
      <c r="U186" s="227">
        <v>8.0</v>
      </c>
      <c r="V186" s="226">
        <v>0.12121212121212122</v>
      </c>
      <c r="W186" s="227">
        <v>30.0</v>
      </c>
      <c r="X186" s="226">
        <v>0.45454545454545453</v>
      </c>
      <c r="Y186" s="227"/>
      <c r="Z186" s="228"/>
      <c r="AA186" s="227"/>
      <c r="AB186" s="228">
        <v>0.0</v>
      </c>
      <c r="AC186" s="225"/>
      <c r="AD186" s="225"/>
      <c r="AE186" s="227"/>
      <c r="AF186" s="225" t="s">
        <v>1418</v>
      </c>
      <c r="AG186" s="229"/>
    </row>
    <row r="187">
      <c r="A187" s="225" t="s">
        <v>269</v>
      </c>
      <c r="B187" s="225" t="s">
        <v>1205</v>
      </c>
      <c r="C187" s="225" t="s">
        <v>59</v>
      </c>
      <c r="D187" s="226">
        <v>22.4</v>
      </c>
      <c r="E187" s="225" t="s">
        <v>815</v>
      </c>
      <c r="F187" s="227">
        <v>74.0</v>
      </c>
      <c r="G187" s="227">
        <v>12.0</v>
      </c>
      <c r="H187" s="227">
        <v>15.0</v>
      </c>
      <c r="I187" s="227">
        <v>27.0</v>
      </c>
      <c r="J187" s="226">
        <v>0.36486486486486486</v>
      </c>
      <c r="K187" s="226">
        <v>30.64864864864865</v>
      </c>
      <c r="L187" s="227">
        <v>97.0</v>
      </c>
      <c r="M187" s="226">
        <v>1.3108108108108107</v>
      </c>
      <c r="N187" s="228">
        <v>0.12371134020618557</v>
      </c>
      <c r="O187" s="227">
        <v>6.0</v>
      </c>
      <c r="P187" s="226">
        <v>0.08108108108108109</v>
      </c>
      <c r="Q187" s="225" t="s">
        <v>1265</v>
      </c>
      <c r="R187" s="228">
        <v>0.354</v>
      </c>
      <c r="S187" s="225" t="s">
        <v>1134</v>
      </c>
      <c r="T187" s="227">
        <v>10.0</v>
      </c>
      <c r="U187" s="227">
        <v>51.0</v>
      </c>
      <c r="V187" s="226">
        <v>0.6891891891891891</v>
      </c>
      <c r="W187" s="227">
        <v>59.0</v>
      </c>
      <c r="X187" s="226">
        <v>0.7972972972972973</v>
      </c>
      <c r="Y187" s="227"/>
      <c r="Z187" s="228"/>
      <c r="AA187" s="227"/>
      <c r="AB187" s="228">
        <v>0.005</v>
      </c>
      <c r="AC187" s="225"/>
      <c r="AD187" s="225"/>
      <c r="AE187" s="227"/>
      <c r="AF187" s="225" t="s">
        <v>1419</v>
      </c>
      <c r="AG187" s="229"/>
    </row>
    <row r="188">
      <c r="A188" s="225" t="s">
        <v>269</v>
      </c>
      <c r="B188" s="225" t="s">
        <v>1346</v>
      </c>
      <c r="C188" s="225" t="s">
        <v>13</v>
      </c>
      <c r="D188" s="226">
        <v>21.9</v>
      </c>
      <c r="E188" s="225" t="s">
        <v>13</v>
      </c>
      <c r="F188" s="227">
        <v>28.0</v>
      </c>
      <c r="G188" s="227">
        <v>4.0</v>
      </c>
      <c r="H188" s="227">
        <v>3.0</v>
      </c>
      <c r="I188" s="227">
        <v>7.0</v>
      </c>
      <c r="J188" s="226">
        <v>0.25</v>
      </c>
      <c r="K188" s="226">
        <v>21.0</v>
      </c>
      <c r="L188" s="227">
        <v>33.0</v>
      </c>
      <c r="M188" s="226">
        <v>1.1785714285714286</v>
      </c>
      <c r="N188" s="228">
        <v>0.12121212121212122</v>
      </c>
      <c r="O188" s="227">
        <v>2.0</v>
      </c>
      <c r="P188" s="226">
        <v>0.07142857142857142</v>
      </c>
      <c r="Q188" s="225" t="s">
        <v>1305</v>
      </c>
      <c r="R188" s="228">
        <v>0.192</v>
      </c>
      <c r="S188" s="225" t="s">
        <v>1420</v>
      </c>
      <c r="T188" s="227">
        <v>6.0</v>
      </c>
      <c r="U188" s="227">
        <v>23.0</v>
      </c>
      <c r="V188" s="226">
        <v>0.8214285714285714</v>
      </c>
      <c r="W188" s="227">
        <v>6.0</v>
      </c>
      <c r="X188" s="226">
        <v>0.21428571428571427</v>
      </c>
      <c r="Y188" s="227"/>
      <c r="Z188" s="228"/>
      <c r="AA188" s="227"/>
      <c r="AB188" s="228">
        <v>0.0</v>
      </c>
      <c r="AC188" s="225"/>
      <c r="AD188" s="225"/>
      <c r="AE188" s="227"/>
      <c r="AF188" s="225" t="s">
        <v>1010</v>
      </c>
      <c r="AG188" s="229"/>
    </row>
    <row r="189">
      <c r="A189" s="225" t="s">
        <v>269</v>
      </c>
      <c r="B189" s="225" t="s">
        <v>1188</v>
      </c>
      <c r="C189" s="225" t="s">
        <v>13</v>
      </c>
      <c r="D189" s="226">
        <v>23.6</v>
      </c>
      <c r="E189" s="225" t="s">
        <v>815</v>
      </c>
      <c r="F189" s="227">
        <v>77.0</v>
      </c>
      <c r="G189" s="227">
        <v>12.0</v>
      </c>
      <c r="H189" s="227">
        <v>20.0</v>
      </c>
      <c r="I189" s="227">
        <v>32.0</v>
      </c>
      <c r="J189" s="226">
        <v>0.4155844155844156</v>
      </c>
      <c r="K189" s="226">
        <v>34.909090909090914</v>
      </c>
      <c r="L189" s="227">
        <v>161.0</v>
      </c>
      <c r="M189" s="226">
        <v>2.090909090909091</v>
      </c>
      <c r="N189" s="228">
        <v>0.07453416149068323</v>
      </c>
      <c r="O189" s="227">
        <v>10.0</v>
      </c>
      <c r="P189" s="226">
        <v>0.12987012987012986</v>
      </c>
      <c r="Q189" s="225" t="s">
        <v>1421</v>
      </c>
      <c r="R189" s="228">
        <v>0.385</v>
      </c>
      <c r="S189" s="225" t="s">
        <v>1261</v>
      </c>
      <c r="T189" s="227">
        <v>30.0</v>
      </c>
      <c r="U189" s="227">
        <v>136.0</v>
      </c>
      <c r="V189" s="226">
        <v>1.7662337662337662</v>
      </c>
      <c r="W189" s="227">
        <v>33.0</v>
      </c>
      <c r="X189" s="226">
        <v>0.42857142857142855</v>
      </c>
      <c r="Y189" s="227"/>
      <c r="Z189" s="228"/>
      <c r="AA189" s="227"/>
      <c r="AB189" s="228">
        <v>0.006999999999999999</v>
      </c>
      <c r="AC189" s="225"/>
      <c r="AD189" s="225"/>
      <c r="AE189" s="227"/>
      <c r="AF189" s="225" t="s">
        <v>240</v>
      </c>
      <c r="AG189" s="229"/>
    </row>
    <row r="190">
      <c r="A190" s="225" t="s">
        <v>96</v>
      </c>
      <c r="B190" s="225" t="s">
        <v>1223</v>
      </c>
      <c r="C190" s="225" t="s">
        <v>13</v>
      </c>
      <c r="D190" s="226">
        <v>23.7</v>
      </c>
      <c r="E190" s="225" t="s">
        <v>815</v>
      </c>
      <c r="F190" s="227">
        <v>81.0</v>
      </c>
      <c r="G190" s="227">
        <v>21.0</v>
      </c>
      <c r="H190" s="227">
        <v>25.0</v>
      </c>
      <c r="I190" s="227">
        <v>46.0</v>
      </c>
      <c r="J190" s="226">
        <v>0.5679012345679012</v>
      </c>
      <c r="K190" s="226">
        <v>47.7037037037037</v>
      </c>
      <c r="L190" s="227">
        <v>118.0</v>
      </c>
      <c r="M190" s="226">
        <v>1.4567901234567902</v>
      </c>
      <c r="N190" s="228">
        <v>0.17796610169491525</v>
      </c>
      <c r="O190" s="227">
        <v>1.0</v>
      </c>
      <c r="P190" s="226">
        <v>0.012345679012345678</v>
      </c>
      <c r="Q190" s="225" t="s">
        <v>1422</v>
      </c>
      <c r="R190" s="228">
        <v>0.096</v>
      </c>
      <c r="S190" s="225" t="s">
        <v>1423</v>
      </c>
      <c r="T190" s="227">
        <v>12.0</v>
      </c>
      <c r="U190" s="227">
        <v>88.0</v>
      </c>
      <c r="V190" s="226">
        <v>1.0864197530864197</v>
      </c>
      <c r="W190" s="227">
        <v>48.0</v>
      </c>
      <c r="X190" s="226">
        <v>0.5925925925925926</v>
      </c>
      <c r="Y190" s="227"/>
      <c r="Z190" s="228"/>
      <c r="AA190" s="227"/>
      <c r="AB190" s="228">
        <v>0.491</v>
      </c>
      <c r="AC190" s="225"/>
      <c r="AD190" s="225"/>
      <c r="AE190" s="227"/>
      <c r="AF190" s="225" t="s">
        <v>1268</v>
      </c>
      <c r="AG190" s="229"/>
    </row>
    <row r="191">
      <c r="A191" s="225" t="s">
        <v>96</v>
      </c>
      <c r="B191" s="225" t="s">
        <v>94</v>
      </c>
      <c r="C191" s="225" t="s">
        <v>59</v>
      </c>
      <c r="D191" s="226">
        <v>20.0</v>
      </c>
      <c r="E191" s="225" t="s">
        <v>13</v>
      </c>
      <c r="F191" s="227">
        <v>82.0</v>
      </c>
      <c r="G191" s="227">
        <v>45.0</v>
      </c>
      <c r="H191" s="227">
        <v>70.0</v>
      </c>
      <c r="I191" s="227">
        <v>115.0</v>
      </c>
      <c r="J191" s="226">
        <v>1.4024390243902438</v>
      </c>
      <c r="K191" s="226">
        <v>117.80487804878048</v>
      </c>
      <c r="L191" s="227">
        <v>287.0</v>
      </c>
      <c r="M191" s="226">
        <v>3.5</v>
      </c>
      <c r="N191" s="228">
        <v>0.156794425087108</v>
      </c>
      <c r="O191" s="227">
        <v>33.0</v>
      </c>
      <c r="P191" s="226">
        <v>0.4024390243902439</v>
      </c>
      <c r="Q191" s="225" t="s">
        <v>1328</v>
      </c>
      <c r="R191" s="228">
        <v>0.7120000000000001</v>
      </c>
      <c r="S191" s="225" t="s">
        <v>1284</v>
      </c>
      <c r="T191" s="227">
        <v>44.0</v>
      </c>
      <c r="U191" s="227">
        <v>53.0</v>
      </c>
      <c r="V191" s="226">
        <v>0.6463414634146342</v>
      </c>
      <c r="W191" s="227">
        <v>53.0</v>
      </c>
      <c r="X191" s="226">
        <v>0.6463414634146342</v>
      </c>
      <c r="Y191" s="227"/>
      <c r="Z191" s="228"/>
      <c r="AA191" s="227"/>
      <c r="AB191" s="228">
        <v>0.037000000000000005</v>
      </c>
      <c r="AC191" s="225"/>
      <c r="AD191" s="225"/>
      <c r="AE191" s="227"/>
      <c r="AF191" s="225" t="s">
        <v>1233</v>
      </c>
      <c r="AG191" s="229"/>
    </row>
    <row r="192">
      <c r="A192" s="225" t="s">
        <v>96</v>
      </c>
      <c r="B192" s="225" t="s">
        <v>390</v>
      </c>
      <c r="C192" s="225" t="s">
        <v>815</v>
      </c>
      <c r="D192" s="226">
        <v>21.3</v>
      </c>
      <c r="E192" s="225" t="s">
        <v>815</v>
      </c>
      <c r="F192" s="227">
        <v>69.0</v>
      </c>
      <c r="G192" s="227">
        <v>24.0</v>
      </c>
      <c r="H192" s="227">
        <v>35.0</v>
      </c>
      <c r="I192" s="227">
        <v>59.0</v>
      </c>
      <c r="J192" s="226">
        <v>0.855072463768116</v>
      </c>
      <c r="K192" s="226">
        <v>71.82608695652173</v>
      </c>
      <c r="L192" s="227">
        <v>166.0</v>
      </c>
      <c r="M192" s="226">
        <v>2.4057971014492754</v>
      </c>
      <c r="N192" s="228">
        <v>0.14457831325301204</v>
      </c>
      <c r="O192" s="227">
        <v>17.0</v>
      </c>
      <c r="P192" s="226">
        <v>0.2463768115942029</v>
      </c>
      <c r="Q192" s="225" t="s">
        <v>1253</v>
      </c>
      <c r="R192" s="228">
        <v>0.644</v>
      </c>
      <c r="S192" s="225" t="s">
        <v>1248</v>
      </c>
      <c r="T192" s="227">
        <v>16.0</v>
      </c>
      <c r="U192" s="227">
        <v>16.0</v>
      </c>
      <c r="V192" s="226">
        <v>0.2318840579710145</v>
      </c>
      <c r="W192" s="227">
        <v>12.0</v>
      </c>
      <c r="X192" s="226">
        <v>0.17391304347826086</v>
      </c>
      <c r="Y192" s="227"/>
      <c r="Z192" s="228"/>
      <c r="AA192" s="227"/>
      <c r="AB192" s="228">
        <v>0.013000000000000001</v>
      </c>
      <c r="AC192" s="225"/>
      <c r="AD192" s="225"/>
      <c r="AE192" s="227"/>
      <c r="AF192" s="225" t="s">
        <v>1030</v>
      </c>
      <c r="AG192" s="229"/>
    </row>
    <row r="193">
      <c r="A193" s="225" t="s">
        <v>96</v>
      </c>
      <c r="B193" s="225" t="s">
        <v>722</v>
      </c>
      <c r="C193" s="225" t="s">
        <v>13</v>
      </c>
      <c r="D193" s="226">
        <v>31.0</v>
      </c>
      <c r="E193" s="225" t="s">
        <v>13</v>
      </c>
      <c r="F193" s="227">
        <v>68.0</v>
      </c>
      <c r="G193" s="227">
        <v>19.0</v>
      </c>
      <c r="H193" s="227">
        <v>26.0</v>
      </c>
      <c r="I193" s="227">
        <v>45.0</v>
      </c>
      <c r="J193" s="226">
        <v>0.6617647058823529</v>
      </c>
      <c r="K193" s="226">
        <v>55.588235294117645</v>
      </c>
      <c r="L193" s="227">
        <v>119.0</v>
      </c>
      <c r="M193" s="226">
        <v>1.75</v>
      </c>
      <c r="N193" s="228">
        <v>0.15966386554621848</v>
      </c>
      <c r="O193" s="227">
        <v>7.0</v>
      </c>
      <c r="P193" s="226">
        <v>0.10294117647058823</v>
      </c>
      <c r="Q193" s="225" t="s">
        <v>1424</v>
      </c>
      <c r="R193" s="228">
        <v>0.512</v>
      </c>
      <c r="S193" s="225" t="s">
        <v>1425</v>
      </c>
      <c r="T193" s="227">
        <v>56.0</v>
      </c>
      <c r="U193" s="227">
        <v>84.0</v>
      </c>
      <c r="V193" s="226">
        <v>1.2352941176470589</v>
      </c>
      <c r="W193" s="227">
        <v>28.0</v>
      </c>
      <c r="X193" s="226">
        <v>0.4117647058823529</v>
      </c>
      <c r="Y193" s="227"/>
      <c r="Z193" s="228"/>
      <c r="AA193" s="227"/>
      <c r="AB193" s="228">
        <v>0.005</v>
      </c>
      <c r="AC193" s="225"/>
      <c r="AD193" s="225"/>
      <c r="AE193" s="227"/>
      <c r="AF193" s="225" t="s">
        <v>308</v>
      </c>
      <c r="AG193" s="229"/>
    </row>
    <row r="194">
      <c r="A194" s="225" t="s">
        <v>96</v>
      </c>
      <c r="B194" s="225" t="s">
        <v>1115</v>
      </c>
      <c r="C194" s="225" t="s">
        <v>59</v>
      </c>
      <c r="D194" s="226">
        <v>19.3</v>
      </c>
      <c r="E194" s="225" t="s">
        <v>13</v>
      </c>
      <c r="F194" s="227">
        <v>45.0</v>
      </c>
      <c r="G194" s="227">
        <v>9.0</v>
      </c>
      <c r="H194" s="227">
        <v>12.0</v>
      </c>
      <c r="I194" s="227">
        <v>21.0</v>
      </c>
      <c r="J194" s="226">
        <v>0.4666666666666667</v>
      </c>
      <c r="K194" s="226">
        <v>39.2</v>
      </c>
      <c r="L194" s="227">
        <v>58.0</v>
      </c>
      <c r="M194" s="226">
        <v>1.288888888888889</v>
      </c>
      <c r="N194" s="228">
        <v>0.15517241379310345</v>
      </c>
      <c r="O194" s="227">
        <v>4.0</v>
      </c>
      <c r="P194" s="226">
        <v>0.08888888888888889</v>
      </c>
      <c r="Q194" s="225" t="s">
        <v>1426</v>
      </c>
      <c r="R194" s="228">
        <v>0.247</v>
      </c>
      <c r="S194" s="225" t="s">
        <v>1427</v>
      </c>
      <c r="T194" s="227">
        <v>10.0</v>
      </c>
      <c r="U194" s="227">
        <v>14.0</v>
      </c>
      <c r="V194" s="226">
        <v>0.3111111111111111</v>
      </c>
      <c r="W194" s="227">
        <v>23.0</v>
      </c>
      <c r="X194" s="226">
        <v>0.5111111111111111</v>
      </c>
      <c r="Y194" s="227"/>
      <c r="Z194" s="228"/>
      <c r="AA194" s="227"/>
      <c r="AB194" s="228">
        <v>0.002</v>
      </c>
      <c r="AC194" s="225"/>
      <c r="AD194" s="225"/>
      <c r="AE194" s="227"/>
      <c r="AF194" s="225" t="s">
        <v>1428</v>
      </c>
      <c r="AG194" s="229"/>
    </row>
    <row r="195">
      <c r="A195" s="225" t="s">
        <v>96</v>
      </c>
      <c r="B195" s="225" t="s">
        <v>955</v>
      </c>
      <c r="C195" s="225" t="s">
        <v>815</v>
      </c>
      <c r="D195" s="226">
        <v>34.1</v>
      </c>
      <c r="E195" s="225" t="s">
        <v>815</v>
      </c>
      <c r="F195" s="227">
        <v>79.0</v>
      </c>
      <c r="G195" s="227">
        <v>19.0</v>
      </c>
      <c r="H195" s="227">
        <v>30.0</v>
      </c>
      <c r="I195" s="227">
        <v>49.0</v>
      </c>
      <c r="J195" s="226">
        <v>0.620253164556962</v>
      </c>
      <c r="K195" s="226">
        <v>52.10126582278481</v>
      </c>
      <c r="L195" s="227">
        <v>172.0</v>
      </c>
      <c r="M195" s="226">
        <v>2.1772151898734178</v>
      </c>
      <c r="N195" s="228">
        <v>0.11046511627906977</v>
      </c>
      <c r="O195" s="227">
        <v>15.0</v>
      </c>
      <c r="P195" s="226">
        <v>0.189873417721519</v>
      </c>
      <c r="Q195" s="225" t="s">
        <v>1281</v>
      </c>
      <c r="R195" s="228">
        <v>0.573</v>
      </c>
      <c r="S195" s="225" t="s">
        <v>1429</v>
      </c>
      <c r="T195" s="227">
        <v>10.0</v>
      </c>
      <c r="U195" s="227">
        <v>48.0</v>
      </c>
      <c r="V195" s="226">
        <v>0.6075949367088608</v>
      </c>
      <c r="W195" s="227">
        <v>31.0</v>
      </c>
      <c r="X195" s="226">
        <v>0.3924050632911392</v>
      </c>
      <c r="Y195" s="227"/>
      <c r="Z195" s="228"/>
      <c r="AA195" s="227"/>
      <c r="AB195" s="228">
        <v>0.003</v>
      </c>
      <c r="AC195" s="225"/>
      <c r="AD195" s="225"/>
      <c r="AE195" s="227"/>
      <c r="AF195" s="225" t="s">
        <v>187</v>
      </c>
      <c r="AG195" s="229"/>
    </row>
    <row r="196">
      <c r="A196" s="225" t="s">
        <v>96</v>
      </c>
      <c r="B196" s="225" t="s">
        <v>1078</v>
      </c>
      <c r="C196" s="225"/>
      <c r="D196" s="226"/>
      <c r="E196" s="225"/>
      <c r="F196" s="227"/>
      <c r="G196" s="227"/>
      <c r="H196" s="227"/>
      <c r="I196" s="227"/>
      <c r="J196" s="226"/>
      <c r="K196" s="226"/>
      <c r="L196" s="227"/>
      <c r="M196" s="226"/>
      <c r="N196" s="228"/>
      <c r="O196" s="227"/>
      <c r="P196" s="226"/>
      <c r="Q196" s="225"/>
      <c r="R196" s="228"/>
      <c r="S196" s="225"/>
      <c r="T196" s="227"/>
      <c r="U196" s="227"/>
      <c r="V196" s="226"/>
      <c r="W196" s="227"/>
      <c r="X196" s="226"/>
      <c r="Y196" s="227"/>
      <c r="Z196" s="228"/>
      <c r="AA196" s="227"/>
      <c r="AB196" s="228"/>
      <c r="AC196" s="225"/>
      <c r="AD196" s="225"/>
      <c r="AE196" s="227"/>
      <c r="AF196" s="225"/>
      <c r="AG196" s="229"/>
    </row>
    <row r="197">
      <c r="A197" s="225" t="s">
        <v>96</v>
      </c>
      <c r="B197" s="225" t="s">
        <v>1263</v>
      </c>
      <c r="C197" s="225" t="s">
        <v>59</v>
      </c>
      <c r="D197" s="226">
        <v>31.7</v>
      </c>
      <c r="E197" s="225" t="s">
        <v>13</v>
      </c>
      <c r="F197" s="227">
        <v>80.0</v>
      </c>
      <c r="G197" s="227">
        <v>18.0</v>
      </c>
      <c r="H197" s="227">
        <v>37.0</v>
      </c>
      <c r="I197" s="227">
        <v>55.0</v>
      </c>
      <c r="J197" s="226">
        <v>0.6875</v>
      </c>
      <c r="K197" s="226">
        <v>57.75</v>
      </c>
      <c r="L197" s="227">
        <v>93.0</v>
      </c>
      <c r="M197" s="226">
        <v>1.1625</v>
      </c>
      <c r="N197" s="228">
        <v>0.1935483870967742</v>
      </c>
      <c r="O197" s="227">
        <v>15.0</v>
      </c>
      <c r="P197" s="226">
        <v>0.1875</v>
      </c>
      <c r="Q197" s="225" t="s">
        <v>1394</v>
      </c>
      <c r="R197" s="228">
        <v>0.645</v>
      </c>
      <c r="S197" s="225" t="s">
        <v>1430</v>
      </c>
      <c r="T197" s="227">
        <v>18.0</v>
      </c>
      <c r="U197" s="227">
        <v>28.0</v>
      </c>
      <c r="V197" s="226">
        <v>0.35</v>
      </c>
      <c r="W197" s="227">
        <v>93.0</v>
      </c>
      <c r="X197" s="226">
        <v>1.1625</v>
      </c>
      <c r="Y197" s="227"/>
      <c r="Z197" s="228"/>
      <c r="AA197" s="227"/>
      <c r="AB197" s="228">
        <v>0.428</v>
      </c>
      <c r="AC197" s="225"/>
      <c r="AD197" s="225"/>
      <c r="AE197" s="227"/>
      <c r="AF197" s="225" t="s">
        <v>349</v>
      </c>
      <c r="AG197" s="229"/>
    </row>
    <row r="198">
      <c r="A198" s="225" t="s">
        <v>96</v>
      </c>
      <c r="B198" s="225" t="s">
        <v>1164</v>
      </c>
      <c r="C198" s="225" t="s">
        <v>815</v>
      </c>
      <c r="D198" s="226">
        <v>31.2</v>
      </c>
      <c r="E198" s="225" t="s">
        <v>815</v>
      </c>
      <c r="F198" s="227">
        <v>72.0</v>
      </c>
      <c r="G198" s="227">
        <v>23.0</v>
      </c>
      <c r="H198" s="227">
        <v>13.0</v>
      </c>
      <c r="I198" s="227">
        <v>36.0</v>
      </c>
      <c r="J198" s="226">
        <v>0.5</v>
      </c>
      <c r="K198" s="226">
        <v>42.0</v>
      </c>
      <c r="L198" s="227">
        <v>172.0</v>
      </c>
      <c r="M198" s="226">
        <v>2.388888888888889</v>
      </c>
      <c r="N198" s="228">
        <v>0.13372093023255813</v>
      </c>
      <c r="O198" s="227">
        <v>12.0</v>
      </c>
      <c r="P198" s="226">
        <v>0.16666666666666666</v>
      </c>
      <c r="Q198" s="225" t="s">
        <v>1431</v>
      </c>
      <c r="R198" s="228">
        <v>0.366</v>
      </c>
      <c r="S198" s="225" t="s">
        <v>1432</v>
      </c>
      <c r="T198" s="227">
        <v>50.0</v>
      </c>
      <c r="U198" s="227">
        <v>339.0</v>
      </c>
      <c r="V198" s="226">
        <v>4.708333333333333</v>
      </c>
      <c r="W198" s="227">
        <v>30.0</v>
      </c>
      <c r="X198" s="226">
        <v>0.4166666666666667</v>
      </c>
      <c r="Y198" s="227"/>
      <c r="Z198" s="228"/>
      <c r="AA198" s="227"/>
      <c r="AB198" s="228">
        <v>0.304</v>
      </c>
      <c r="AC198" s="225"/>
      <c r="AD198" s="225"/>
      <c r="AE198" s="227"/>
      <c r="AF198" s="225" t="s">
        <v>221</v>
      </c>
      <c r="AG198" s="229"/>
    </row>
    <row r="199">
      <c r="A199" s="225" t="s">
        <v>96</v>
      </c>
      <c r="B199" s="225" t="s">
        <v>1106</v>
      </c>
      <c r="C199" s="225" t="s">
        <v>13</v>
      </c>
      <c r="D199" s="226">
        <v>20.5</v>
      </c>
      <c r="E199" s="225" t="s">
        <v>815</v>
      </c>
      <c r="F199" s="227">
        <v>28.0</v>
      </c>
      <c r="G199" s="227">
        <v>9.0</v>
      </c>
      <c r="H199" s="227">
        <v>10.0</v>
      </c>
      <c r="I199" s="227">
        <v>19.0</v>
      </c>
      <c r="J199" s="226">
        <v>0.6785714285714286</v>
      </c>
      <c r="K199" s="226">
        <v>57.0</v>
      </c>
      <c r="L199" s="227">
        <v>46.0</v>
      </c>
      <c r="M199" s="226">
        <v>1.6428571428571428</v>
      </c>
      <c r="N199" s="228">
        <v>0.1956521739130435</v>
      </c>
      <c r="O199" s="227">
        <v>5.0</v>
      </c>
      <c r="P199" s="226">
        <v>0.17857142857142858</v>
      </c>
      <c r="Q199" s="225" t="s">
        <v>1297</v>
      </c>
      <c r="R199" s="228">
        <v>0.25</v>
      </c>
      <c r="S199" s="225" t="s">
        <v>1433</v>
      </c>
      <c r="T199" s="227">
        <v>6.0</v>
      </c>
      <c r="U199" s="227">
        <v>17.0</v>
      </c>
      <c r="V199" s="226">
        <v>0.6071428571428571</v>
      </c>
      <c r="W199" s="227">
        <v>13.0</v>
      </c>
      <c r="X199" s="226">
        <v>0.4642857142857143</v>
      </c>
      <c r="Y199" s="227"/>
      <c r="Z199" s="228"/>
      <c r="AA199" s="227"/>
      <c r="AB199" s="228">
        <v>0.001</v>
      </c>
      <c r="AC199" s="225"/>
      <c r="AD199" s="225"/>
      <c r="AE199" s="227"/>
      <c r="AF199" s="225" t="s">
        <v>984</v>
      </c>
      <c r="AG199" s="229"/>
    </row>
    <row r="200">
      <c r="A200" s="225" t="s">
        <v>145</v>
      </c>
      <c r="B200" s="225" t="s">
        <v>500</v>
      </c>
      <c r="C200" s="225" t="s">
        <v>13</v>
      </c>
      <c r="D200" s="226">
        <v>24.7</v>
      </c>
      <c r="E200" s="225" t="s">
        <v>13</v>
      </c>
      <c r="F200" s="227">
        <v>59.0</v>
      </c>
      <c r="G200" s="227">
        <v>22.0</v>
      </c>
      <c r="H200" s="227">
        <v>29.0</v>
      </c>
      <c r="I200" s="227">
        <v>51.0</v>
      </c>
      <c r="J200" s="226">
        <v>0.864406779661017</v>
      </c>
      <c r="K200" s="226">
        <v>72.61016949152543</v>
      </c>
      <c r="L200" s="227">
        <v>162.0</v>
      </c>
      <c r="M200" s="226">
        <v>2.7457627118644066</v>
      </c>
      <c r="N200" s="228">
        <v>0.13580246913580246</v>
      </c>
      <c r="O200" s="227">
        <v>8.0</v>
      </c>
      <c r="P200" s="226">
        <v>0.13559322033898305</v>
      </c>
      <c r="Q200" s="225" t="s">
        <v>1434</v>
      </c>
      <c r="R200" s="228">
        <v>0.52</v>
      </c>
      <c r="S200" s="225" t="s">
        <v>1435</v>
      </c>
      <c r="T200" s="227">
        <v>20.0</v>
      </c>
      <c r="U200" s="227">
        <v>129.0</v>
      </c>
      <c r="V200" s="226">
        <v>2.1864406779661016</v>
      </c>
      <c r="W200" s="227">
        <v>41.0</v>
      </c>
      <c r="X200" s="226">
        <v>0.6949152542372882</v>
      </c>
      <c r="Y200" s="227"/>
      <c r="Z200" s="228"/>
      <c r="AA200" s="227"/>
      <c r="AB200" s="228">
        <v>0.069</v>
      </c>
      <c r="AC200" s="225"/>
      <c r="AD200" s="225"/>
      <c r="AE200" s="227"/>
      <c r="AF200" s="225" t="s">
        <v>1436</v>
      </c>
      <c r="AG200" s="229"/>
    </row>
    <row r="201">
      <c r="A201" s="225" t="s">
        <v>145</v>
      </c>
      <c r="B201" s="225" t="s">
        <v>267</v>
      </c>
      <c r="C201" s="225" t="s">
        <v>59</v>
      </c>
      <c r="D201" s="226">
        <v>27.0</v>
      </c>
      <c r="E201" s="225" t="s">
        <v>815</v>
      </c>
      <c r="F201" s="227">
        <v>64.0</v>
      </c>
      <c r="G201" s="227">
        <v>25.0</v>
      </c>
      <c r="H201" s="227">
        <v>39.0</v>
      </c>
      <c r="I201" s="227">
        <v>64.0</v>
      </c>
      <c r="J201" s="226">
        <v>1.0</v>
      </c>
      <c r="K201" s="226">
        <v>84.0</v>
      </c>
      <c r="L201" s="227">
        <v>102.0</v>
      </c>
      <c r="M201" s="226">
        <v>1.59375</v>
      </c>
      <c r="N201" s="228">
        <v>0.24509803921568626</v>
      </c>
      <c r="O201" s="227">
        <v>14.0</v>
      </c>
      <c r="P201" s="226">
        <v>0.21875</v>
      </c>
      <c r="Q201" s="225" t="s">
        <v>1437</v>
      </c>
      <c r="R201" s="228">
        <v>0.589</v>
      </c>
      <c r="S201" s="225" t="s">
        <v>1438</v>
      </c>
      <c r="T201" s="227">
        <v>24.0</v>
      </c>
      <c r="U201" s="227">
        <v>10.0</v>
      </c>
      <c r="V201" s="226">
        <v>0.15625</v>
      </c>
      <c r="W201" s="227">
        <v>40.0</v>
      </c>
      <c r="X201" s="226">
        <v>0.625</v>
      </c>
      <c r="Y201" s="227"/>
      <c r="Z201" s="228"/>
      <c r="AA201" s="227"/>
      <c r="AB201" s="228">
        <v>0.29</v>
      </c>
      <c r="AC201" s="225"/>
      <c r="AD201" s="225"/>
      <c r="AE201" s="227"/>
      <c r="AF201" s="225" t="s">
        <v>1439</v>
      </c>
      <c r="AG201" s="229"/>
    </row>
    <row r="202">
      <c r="A202" s="225" t="s">
        <v>145</v>
      </c>
      <c r="B202" s="225" t="s">
        <v>739</v>
      </c>
      <c r="C202" s="225" t="s">
        <v>13</v>
      </c>
      <c r="D202" s="226">
        <v>25.4</v>
      </c>
      <c r="E202" s="225" t="s">
        <v>13</v>
      </c>
      <c r="F202" s="227">
        <v>78.0</v>
      </c>
      <c r="G202" s="227">
        <v>14.0</v>
      </c>
      <c r="H202" s="227">
        <v>32.0</v>
      </c>
      <c r="I202" s="227">
        <v>46.0</v>
      </c>
      <c r="J202" s="226">
        <v>0.5897435897435898</v>
      </c>
      <c r="K202" s="226">
        <v>49.53846153846154</v>
      </c>
      <c r="L202" s="227">
        <v>142.0</v>
      </c>
      <c r="M202" s="226">
        <v>1.8205128205128205</v>
      </c>
      <c r="N202" s="228">
        <v>0.09859154929577464</v>
      </c>
      <c r="O202" s="227">
        <v>5.0</v>
      </c>
      <c r="P202" s="226">
        <v>0.0641025641025641</v>
      </c>
      <c r="Q202" s="225" t="s">
        <v>1230</v>
      </c>
      <c r="R202" s="228">
        <v>0.33299999999999996</v>
      </c>
      <c r="S202" s="225" t="s">
        <v>1440</v>
      </c>
      <c r="T202" s="227">
        <v>30.0</v>
      </c>
      <c r="U202" s="227">
        <v>45.0</v>
      </c>
      <c r="V202" s="226">
        <v>0.5769230769230769</v>
      </c>
      <c r="W202" s="227">
        <v>45.0</v>
      </c>
      <c r="X202" s="226">
        <v>0.5769230769230769</v>
      </c>
      <c r="Y202" s="227"/>
      <c r="Z202" s="228"/>
      <c r="AA202" s="227"/>
      <c r="AB202" s="228">
        <v>0.39899999999999997</v>
      </c>
      <c r="AC202" s="225"/>
      <c r="AD202" s="225"/>
      <c r="AE202" s="227"/>
      <c r="AF202" s="225" t="s">
        <v>1393</v>
      </c>
      <c r="AG202" s="229"/>
    </row>
    <row r="203">
      <c r="A203" s="225" t="s">
        <v>145</v>
      </c>
      <c r="B203" s="225" t="s">
        <v>1003</v>
      </c>
      <c r="C203" s="225" t="s">
        <v>13</v>
      </c>
      <c r="D203" s="226">
        <v>24.2</v>
      </c>
      <c r="E203" s="225" t="s">
        <v>13</v>
      </c>
      <c r="F203" s="227">
        <v>69.0</v>
      </c>
      <c r="G203" s="227">
        <v>15.0</v>
      </c>
      <c r="H203" s="227">
        <v>21.0</v>
      </c>
      <c r="I203" s="227">
        <v>36.0</v>
      </c>
      <c r="J203" s="226">
        <v>0.5217391304347826</v>
      </c>
      <c r="K203" s="226">
        <v>43.826086956521735</v>
      </c>
      <c r="L203" s="227">
        <v>86.0</v>
      </c>
      <c r="M203" s="226">
        <v>1.2463768115942029</v>
      </c>
      <c r="N203" s="228">
        <v>0.1744186046511628</v>
      </c>
      <c r="O203" s="227">
        <v>7.0</v>
      </c>
      <c r="P203" s="226">
        <v>0.10144927536231885</v>
      </c>
      <c r="Q203" s="225" t="s">
        <v>1421</v>
      </c>
      <c r="R203" s="228">
        <v>0.465</v>
      </c>
      <c r="S203" s="225" t="s">
        <v>1441</v>
      </c>
      <c r="T203" s="227">
        <v>43.0</v>
      </c>
      <c r="U203" s="227">
        <v>152.0</v>
      </c>
      <c r="V203" s="226">
        <v>2.2028985507246377</v>
      </c>
      <c r="W203" s="227">
        <v>36.0</v>
      </c>
      <c r="X203" s="226">
        <v>0.5217391304347826</v>
      </c>
      <c r="Y203" s="227"/>
      <c r="Z203" s="228"/>
      <c r="AA203" s="227"/>
      <c r="AB203" s="228">
        <v>0.009000000000000001</v>
      </c>
      <c r="AC203" s="225"/>
      <c r="AD203" s="225"/>
      <c r="AE203" s="227"/>
      <c r="AF203" s="225" t="s">
        <v>205</v>
      </c>
      <c r="AG203" s="229"/>
    </row>
    <row r="204">
      <c r="A204" s="225" t="s">
        <v>145</v>
      </c>
      <c r="B204" s="225" t="s">
        <v>820</v>
      </c>
      <c r="C204" s="225" t="s">
        <v>13</v>
      </c>
      <c r="D204" s="226">
        <v>31.2</v>
      </c>
      <c r="E204" s="225" t="s">
        <v>13</v>
      </c>
      <c r="F204" s="227">
        <v>81.0</v>
      </c>
      <c r="G204" s="227">
        <v>20.0</v>
      </c>
      <c r="H204" s="227">
        <v>28.0</v>
      </c>
      <c r="I204" s="227">
        <v>48.0</v>
      </c>
      <c r="J204" s="226">
        <v>0.5925925925925926</v>
      </c>
      <c r="K204" s="226">
        <v>49.77777777777777</v>
      </c>
      <c r="L204" s="227">
        <v>142.0</v>
      </c>
      <c r="M204" s="226">
        <v>1.7530864197530864</v>
      </c>
      <c r="N204" s="228">
        <v>0.14084507042253522</v>
      </c>
      <c r="O204" s="227">
        <v>15.0</v>
      </c>
      <c r="P204" s="226">
        <v>0.18518518518518517</v>
      </c>
      <c r="Q204" s="225" t="s">
        <v>1442</v>
      </c>
      <c r="R204" s="228">
        <v>0.5329999999999999</v>
      </c>
      <c r="S204" s="225" t="s">
        <v>1443</v>
      </c>
      <c r="T204" s="227">
        <v>26.0</v>
      </c>
      <c r="U204" s="227">
        <v>30.0</v>
      </c>
      <c r="V204" s="226">
        <v>0.37037037037037035</v>
      </c>
      <c r="W204" s="227">
        <v>40.0</v>
      </c>
      <c r="X204" s="226">
        <v>0.49382716049382713</v>
      </c>
      <c r="Y204" s="227"/>
      <c r="Z204" s="228"/>
      <c r="AA204" s="227"/>
      <c r="AB204" s="228">
        <v>0.381</v>
      </c>
      <c r="AC204" s="225"/>
      <c r="AD204" s="225"/>
      <c r="AE204" s="227"/>
      <c r="AF204" s="225" t="s">
        <v>1181</v>
      </c>
      <c r="AG204" s="229"/>
    </row>
    <row r="205">
      <c r="A205" s="225" t="s">
        <v>145</v>
      </c>
      <c r="B205" s="225" t="s">
        <v>530</v>
      </c>
      <c r="C205" s="225" t="s">
        <v>815</v>
      </c>
      <c r="D205" s="226">
        <v>22.0</v>
      </c>
      <c r="E205" s="225" t="s">
        <v>815</v>
      </c>
      <c r="F205" s="227">
        <v>70.0</v>
      </c>
      <c r="G205" s="227">
        <v>21.0</v>
      </c>
      <c r="H205" s="227">
        <v>30.0</v>
      </c>
      <c r="I205" s="227">
        <v>51.0</v>
      </c>
      <c r="J205" s="226">
        <v>0.7285714285714285</v>
      </c>
      <c r="K205" s="226">
        <v>61.199999999999996</v>
      </c>
      <c r="L205" s="227">
        <v>169.0</v>
      </c>
      <c r="M205" s="226">
        <v>2.414285714285714</v>
      </c>
      <c r="N205" s="228">
        <v>0.1242603550295858</v>
      </c>
      <c r="O205" s="227">
        <v>9.0</v>
      </c>
      <c r="P205" s="226">
        <v>0.12857142857142856</v>
      </c>
      <c r="Q205" s="225" t="s">
        <v>1444</v>
      </c>
      <c r="R205" s="228">
        <v>0.507</v>
      </c>
      <c r="S205" s="225" t="s">
        <v>1308</v>
      </c>
      <c r="T205" s="227">
        <v>18.0</v>
      </c>
      <c r="U205" s="227">
        <v>71.0</v>
      </c>
      <c r="V205" s="226">
        <v>1.0142857142857142</v>
      </c>
      <c r="W205" s="227">
        <v>39.0</v>
      </c>
      <c r="X205" s="226">
        <v>0.5571428571428572</v>
      </c>
      <c r="Y205" s="227"/>
      <c r="Z205" s="228"/>
      <c r="AA205" s="227"/>
      <c r="AB205" s="228">
        <v>0.001</v>
      </c>
      <c r="AC205" s="225"/>
      <c r="AD205" s="225"/>
      <c r="AE205" s="227"/>
      <c r="AF205" s="225" t="s">
        <v>1005</v>
      </c>
      <c r="AG205" s="229"/>
    </row>
    <row r="206">
      <c r="A206" s="225" t="s">
        <v>145</v>
      </c>
      <c r="B206" s="225" t="s">
        <v>699</v>
      </c>
      <c r="C206" s="225" t="s">
        <v>13</v>
      </c>
      <c r="D206" s="226">
        <v>23.4</v>
      </c>
      <c r="E206" s="225" t="s">
        <v>13</v>
      </c>
      <c r="F206" s="227">
        <v>75.0</v>
      </c>
      <c r="G206" s="227">
        <v>17.0</v>
      </c>
      <c r="H206" s="227">
        <v>24.0</v>
      </c>
      <c r="I206" s="227">
        <v>41.0</v>
      </c>
      <c r="J206" s="226">
        <v>0.5466666666666666</v>
      </c>
      <c r="K206" s="226">
        <v>45.919999999999995</v>
      </c>
      <c r="L206" s="227">
        <v>146.0</v>
      </c>
      <c r="M206" s="226">
        <v>1.9466666666666668</v>
      </c>
      <c r="N206" s="228">
        <v>0.11643835616438356</v>
      </c>
      <c r="O206" s="227">
        <v>11.0</v>
      </c>
      <c r="P206" s="226">
        <v>0.14666666666666667</v>
      </c>
      <c r="Q206" s="225" t="s">
        <v>1445</v>
      </c>
      <c r="R206" s="228">
        <v>0.376</v>
      </c>
      <c r="S206" s="225" t="s">
        <v>1446</v>
      </c>
      <c r="T206" s="227">
        <v>42.0</v>
      </c>
      <c r="U206" s="227">
        <v>95.0</v>
      </c>
      <c r="V206" s="226">
        <v>1.2666666666666666</v>
      </c>
      <c r="W206" s="227">
        <v>33.0</v>
      </c>
      <c r="X206" s="226">
        <v>0.44</v>
      </c>
      <c r="Y206" s="227"/>
      <c r="Z206" s="228"/>
      <c r="AA206" s="227"/>
      <c r="AB206" s="228">
        <v>0.018000000000000002</v>
      </c>
      <c r="AC206" s="225"/>
      <c r="AD206" s="225"/>
      <c r="AE206" s="227"/>
      <c r="AF206" s="225" t="s">
        <v>819</v>
      </c>
      <c r="AG206" s="229"/>
    </row>
    <row r="207">
      <c r="A207" s="225" t="s">
        <v>145</v>
      </c>
      <c r="B207" s="225" t="s">
        <v>1355</v>
      </c>
      <c r="C207" s="225"/>
      <c r="D207" s="226"/>
      <c r="E207" s="225"/>
      <c r="F207" s="227"/>
      <c r="G207" s="227"/>
      <c r="H207" s="227"/>
      <c r="I207" s="227"/>
      <c r="J207" s="226"/>
      <c r="K207" s="226"/>
      <c r="L207" s="227"/>
      <c r="M207" s="226"/>
      <c r="N207" s="228"/>
      <c r="O207" s="227"/>
      <c r="P207" s="226"/>
      <c r="Q207" s="225"/>
      <c r="R207" s="228"/>
      <c r="S207" s="225"/>
      <c r="T207" s="227"/>
      <c r="U207" s="227"/>
      <c r="V207" s="226"/>
      <c r="W207" s="227"/>
      <c r="X207" s="226"/>
      <c r="Y207" s="227"/>
      <c r="Z207" s="228"/>
      <c r="AA207" s="227"/>
      <c r="AB207" s="228"/>
      <c r="AC207" s="225"/>
      <c r="AD207" s="225"/>
      <c r="AE207" s="227"/>
      <c r="AF207" s="225"/>
      <c r="AG207" s="229"/>
    </row>
    <row r="208">
      <c r="A208" s="225" t="s">
        <v>145</v>
      </c>
      <c r="B208" s="225" t="s">
        <v>1325</v>
      </c>
      <c r="C208" s="225" t="s">
        <v>59</v>
      </c>
      <c r="D208" s="226">
        <v>21.0</v>
      </c>
      <c r="E208" s="225" t="s">
        <v>13</v>
      </c>
      <c r="F208" s="227">
        <v>71.0</v>
      </c>
      <c r="G208" s="227">
        <v>12.0</v>
      </c>
      <c r="H208" s="227">
        <v>9.0</v>
      </c>
      <c r="I208" s="227">
        <v>21.0</v>
      </c>
      <c r="J208" s="226">
        <v>0.29577464788732394</v>
      </c>
      <c r="K208" s="226">
        <v>24.845070422535212</v>
      </c>
      <c r="L208" s="227">
        <v>93.0</v>
      </c>
      <c r="M208" s="226">
        <v>1.3098591549295775</v>
      </c>
      <c r="N208" s="228">
        <v>0.12903225806451613</v>
      </c>
      <c r="O208" s="227">
        <v>7.0</v>
      </c>
      <c r="P208" s="226">
        <v>0.09859154929577464</v>
      </c>
      <c r="Q208" s="225" t="s">
        <v>1244</v>
      </c>
      <c r="R208" s="228">
        <v>0.44</v>
      </c>
      <c r="S208" s="225" t="s">
        <v>1447</v>
      </c>
      <c r="T208" s="227">
        <v>26.0</v>
      </c>
      <c r="U208" s="227">
        <v>77.0</v>
      </c>
      <c r="V208" s="226">
        <v>1.0845070422535212</v>
      </c>
      <c r="W208" s="227">
        <v>24.0</v>
      </c>
      <c r="X208" s="226">
        <v>0.3380281690140845</v>
      </c>
      <c r="Y208" s="227"/>
      <c r="Z208" s="228"/>
      <c r="AA208" s="227"/>
      <c r="AB208" s="228">
        <v>0.002</v>
      </c>
      <c r="AC208" s="225"/>
      <c r="AD208" s="225"/>
      <c r="AE208" s="227"/>
      <c r="AF208" s="225" t="s">
        <v>1448</v>
      </c>
      <c r="AG208" s="229"/>
    </row>
    <row r="209">
      <c r="A209" s="225" t="s">
        <v>124</v>
      </c>
      <c r="B209" s="225" t="s">
        <v>256</v>
      </c>
      <c r="C209" s="225" t="s">
        <v>13</v>
      </c>
      <c r="D209" s="226">
        <v>31.7</v>
      </c>
      <c r="E209" s="225" t="s">
        <v>13</v>
      </c>
      <c r="F209" s="227">
        <v>81.0</v>
      </c>
      <c r="G209" s="227">
        <v>38.0</v>
      </c>
      <c r="H209" s="227">
        <v>50.0</v>
      </c>
      <c r="I209" s="227">
        <v>88.0</v>
      </c>
      <c r="J209" s="226">
        <v>1.0864197530864197</v>
      </c>
      <c r="K209" s="226">
        <v>91.25925925925925</v>
      </c>
      <c r="L209" s="227">
        <v>220.0</v>
      </c>
      <c r="M209" s="226">
        <v>2.7160493827160495</v>
      </c>
      <c r="N209" s="228">
        <v>0.17272727272727273</v>
      </c>
      <c r="O209" s="227">
        <v>30.0</v>
      </c>
      <c r="P209" s="226">
        <v>0.37037037037037035</v>
      </c>
      <c r="Q209" s="225" t="s">
        <v>1449</v>
      </c>
      <c r="R209" s="228">
        <v>0.81</v>
      </c>
      <c r="S209" s="225" t="s">
        <v>1086</v>
      </c>
      <c r="T209" s="227">
        <v>61.0</v>
      </c>
      <c r="U209" s="227">
        <v>39.0</v>
      </c>
      <c r="V209" s="226">
        <v>0.48148148148148145</v>
      </c>
      <c r="W209" s="227">
        <v>41.0</v>
      </c>
      <c r="X209" s="226">
        <v>0.5061728395061729</v>
      </c>
      <c r="Y209" s="227"/>
      <c r="Z209" s="228"/>
      <c r="AA209" s="227"/>
      <c r="AB209" s="228">
        <v>0.259</v>
      </c>
      <c r="AC209" s="225"/>
      <c r="AD209" s="225"/>
      <c r="AE209" s="227"/>
      <c r="AF209" s="225" t="s">
        <v>1222</v>
      </c>
      <c r="AG209" s="229"/>
    </row>
    <row r="210">
      <c r="A210" s="225" t="s">
        <v>124</v>
      </c>
      <c r="B210" s="225" t="s">
        <v>594</v>
      </c>
      <c r="C210" s="225" t="s">
        <v>59</v>
      </c>
      <c r="D210" s="226">
        <v>30.3</v>
      </c>
      <c r="E210" s="225" t="s">
        <v>815</v>
      </c>
      <c r="F210" s="227">
        <v>63.0</v>
      </c>
      <c r="G210" s="227">
        <v>18.0</v>
      </c>
      <c r="H210" s="227">
        <v>32.0</v>
      </c>
      <c r="I210" s="227">
        <v>50.0</v>
      </c>
      <c r="J210" s="226">
        <v>0.7936507936507936</v>
      </c>
      <c r="K210" s="226">
        <v>66.66666666666666</v>
      </c>
      <c r="L210" s="227">
        <v>129.0</v>
      </c>
      <c r="M210" s="226">
        <v>2.0476190476190474</v>
      </c>
      <c r="N210" s="228">
        <v>0.13953488372093023</v>
      </c>
      <c r="O210" s="227">
        <v>11.0</v>
      </c>
      <c r="P210" s="226">
        <v>0.1746031746031746</v>
      </c>
      <c r="Q210" s="225" t="s">
        <v>1450</v>
      </c>
      <c r="R210" s="228">
        <v>0.747</v>
      </c>
      <c r="S210" s="225" t="s">
        <v>1435</v>
      </c>
      <c r="T210" s="227">
        <v>14.0</v>
      </c>
      <c r="U210" s="227">
        <v>8.0</v>
      </c>
      <c r="V210" s="226">
        <v>0.12698412698412698</v>
      </c>
      <c r="W210" s="227">
        <v>23.0</v>
      </c>
      <c r="X210" s="226">
        <v>0.36507936507936506</v>
      </c>
      <c r="Y210" s="227"/>
      <c r="Z210" s="228"/>
      <c r="AA210" s="227"/>
      <c r="AB210" s="228">
        <v>0.005</v>
      </c>
      <c r="AC210" s="225"/>
      <c r="AD210" s="225"/>
      <c r="AE210" s="227"/>
      <c r="AF210" s="225" t="s">
        <v>51</v>
      </c>
      <c r="AG210" s="229"/>
    </row>
    <row r="211">
      <c r="A211" s="225" t="s">
        <v>124</v>
      </c>
      <c r="B211" s="225" t="s">
        <v>119</v>
      </c>
      <c r="C211" s="225" t="s">
        <v>815</v>
      </c>
      <c r="D211" s="226">
        <v>33.0</v>
      </c>
      <c r="E211" s="225" t="s">
        <v>13</v>
      </c>
      <c r="F211" s="227">
        <v>77.0</v>
      </c>
      <c r="G211" s="227">
        <v>44.0</v>
      </c>
      <c r="H211" s="227">
        <v>86.0</v>
      </c>
      <c r="I211" s="227">
        <v>130.0</v>
      </c>
      <c r="J211" s="226">
        <v>1.6883116883116882</v>
      </c>
      <c r="K211" s="226">
        <v>141.8181818181818</v>
      </c>
      <c r="L211" s="227">
        <v>231.0</v>
      </c>
      <c r="M211" s="226">
        <v>3.0</v>
      </c>
      <c r="N211" s="228">
        <v>0.19047619047619047</v>
      </c>
      <c r="O211" s="227">
        <v>37.0</v>
      </c>
      <c r="P211" s="226">
        <v>0.4805194805194805</v>
      </c>
      <c r="Q211" s="225" t="s">
        <v>1451</v>
      </c>
      <c r="R211" s="228">
        <v>0.841</v>
      </c>
      <c r="S211" s="225" t="s">
        <v>1452</v>
      </c>
      <c r="T211" s="227">
        <v>50.0</v>
      </c>
      <c r="U211" s="227">
        <v>36.0</v>
      </c>
      <c r="V211" s="226">
        <v>0.4675324675324675</v>
      </c>
      <c r="W211" s="227">
        <v>29.0</v>
      </c>
      <c r="X211" s="226">
        <v>0.37662337662337664</v>
      </c>
      <c r="Y211" s="227"/>
      <c r="Z211" s="228"/>
      <c r="AA211" s="227"/>
      <c r="AB211" s="228">
        <v>0.004</v>
      </c>
      <c r="AC211" s="225"/>
      <c r="AD211" s="225"/>
      <c r="AE211" s="227"/>
      <c r="AF211" s="225" t="s">
        <v>51</v>
      </c>
      <c r="AG211" s="229"/>
    </row>
    <row r="212">
      <c r="A212" s="225" t="s">
        <v>124</v>
      </c>
      <c r="B212" s="225" t="s">
        <v>1047</v>
      </c>
      <c r="C212" s="225" t="s">
        <v>13</v>
      </c>
      <c r="D212" s="226">
        <v>25.4</v>
      </c>
      <c r="E212" s="225" t="s">
        <v>13</v>
      </c>
      <c r="F212" s="227">
        <v>74.0</v>
      </c>
      <c r="G212" s="227">
        <v>11.0</v>
      </c>
      <c r="H212" s="227">
        <v>22.0</v>
      </c>
      <c r="I212" s="227">
        <v>33.0</v>
      </c>
      <c r="J212" s="226">
        <v>0.44594594594594594</v>
      </c>
      <c r="K212" s="226">
        <v>37.45945945945946</v>
      </c>
      <c r="L212" s="227">
        <v>77.0</v>
      </c>
      <c r="M212" s="226">
        <v>1.0405405405405406</v>
      </c>
      <c r="N212" s="228">
        <v>0.14285714285714285</v>
      </c>
      <c r="O212" s="227">
        <v>2.0</v>
      </c>
      <c r="P212" s="226">
        <v>0.02702702702702703</v>
      </c>
      <c r="Q212" s="225" t="s">
        <v>1453</v>
      </c>
      <c r="R212" s="228">
        <v>0.195</v>
      </c>
      <c r="S212" s="225" t="s">
        <v>1454</v>
      </c>
      <c r="T212" s="227">
        <v>41.0</v>
      </c>
      <c r="U212" s="227">
        <v>85.0</v>
      </c>
      <c r="V212" s="226">
        <v>1.1486486486486487</v>
      </c>
      <c r="W212" s="227">
        <v>29.0</v>
      </c>
      <c r="X212" s="226">
        <v>0.3918918918918919</v>
      </c>
      <c r="Y212" s="227"/>
      <c r="Z212" s="228"/>
      <c r="AA212" s="227"/>
      <c r="AB212" s="228">
        <v>0.043</v>
      </c>
      <c r="AC212" s="225"/>
      <c r="AD212" s="225"/>
      <c r="AE212" s="227"/>
      <c r="AF212" s="225" t="s">
        <v>1455</v>
      </c>
      <c r="AG212" s="229"/>
    </row>
    <row r="213">
      <c r="A213" s="225" t="s">
        <v>124</v>
      </c>
      <c r="B213" s="225" t="s">
        <v>697</v>
      </c>
      <c r="C213" s="225" t="s">
        <v>59</v>
      </c>
      <c r="D213" s="226">
        <v>28.9</v>
      </c>
      <c r="E213" s="225" t="s">
        <v>13</v>
      </c>
      <c r="F213" s="227">
        <v>71.0</v>
      </c>
      <c r="G213" s="227">
        <v>23.0</v>
      </c>
      <c r="H213" s="227">
        <v>29.0</v>
      </c>
      <c r="I213" s="227">
        <v>52.0</v>
      </c>
      <c r="J213" s="226">
        <v>0.7323943661971831</v>
      </c>
      <c r="K213" s="226">
        <v>61.521126760563384</v>
      </c>
      <c r="L213" s="227">
        <v>125.0</v>
      </c>
      <c r="M213" s="226">
        <v>1.7605633802816902</v>
      </c>
      <c r="N213" s="228">
        <v>0.184</v>
      </c>
      <c r="O213" s="227">
        <v>4.0</v>
      </c>
      <c r="P213" s="226">
        <v>0.056338028169014086</v>
      </c>
      <c r="Q213" s="225" t="s">
        <v>1456</v>
      </c>
      <c r="R213" s="228">
        <v>0.244</v>
      </c>
      <c r="S213" s="225" t="s">
        <v>1457</v>
      </c>
      <c r="T213" s="227">
        <v>48.0</v>
      </c>
      <c r="U213" s="227">
        <v>50.0</v>
      </c>
      <c r="V213" s="226">
        <v>0.704225352112676</v>
      </c>
      <c r="W213" s="227">
        <v>47.0</v>
      </c>
      <c r="X213" s="226">
        <v>0.6619718309859155</v>
      </c>
      <c r="Y213" s="227"/>
      <c r="Z213" s="228"/>
      <c r="AA213" s="227"/>
      <c r="AB213" s="228">
        <v>0.509</v>
      </c>
      <c r="AC213" s="225"/>
      <c r="AD213" s="225"/>
      <c r="AE213" s="227"/>
      <c r="AF213" s="225" t="s">
        <v>469</v>
      </c>
      <c r="AG213" s="229"/>
    </row>
    <row r="214">
      <c r="A214" s="225" t="s">
        <v>124</v>
      </c>
      <c r="B214" s="225" t="s">
        <v>250</v>
      </c>
      <c r="C214" s="225" t="s">
        <v>13</v>
      </c>
      <c r="D214" s="226">
        <v>27.8</v>
      </c>
      <c r="E214" s="225" t="s">
        <v>13</v>
      </c>
      <c r="F214" s="227">
        <v>71.0</v>
      </c>
      <c r="G214" s="227">
        <v>36.0</v>
      </c>
      <c r="H214" s="227">
        <v>38.0</v>
      </c>
      <c r="I214" s="227">
        <v>74.0</v>
      </c>
      <c r="J214" s="226">
        <v>1.0422535211267605</v>
      </c>
      <c r="K214" s="226">
        <v>87.54929577464789</v>
      </c>
      <c r="L214" s="227">
        <v>214.0</v>
      </c>
      <c r="M214" s="226">
        <v>3.0140845070422535</v>
      </c>
      <c r="N214" s="228">
        <v>0.16822429906542055</v>
      </c>
      <c r="O214" s="227">
        <v>12.0</v>
      </c>
      <c r="P214" s="226">
        <v>0.16901408450704225</v>
      </c>
      <c r="Q214" s="225" t="s">
        <v>1378</v>
      </c>
      <c r="R214" s="228">
        <v>0.45</v>
      </c>
      <c r="S214" s="225" t="s">
        <v>1458</v>
      </c>
      <c r="T214" s="227">
        <v>58.0</v>
      </c>
      <c r="U214" s="227">
        <v>42.0</v>
      </c>
      <c r="V214" s="226">
        <v>0.5915492957746479</v>
      </c>
      <c r="W214" s="227">
        <v>38.0</v>
      </c>
      <c r="X214" s="226">
        <v>0.5352112676056338</v>
      </c>
      <c r="Y214" s="227"/>
      <c r="Z214" s="228"/>
      <c r="AA214" s="227"/>
      <c r="AB214" s="228">
        <v>0.46399999999999997</v>
      </c>
      <c r="AC214" s="225"/>
      <c r="AD214" s="225"/>
      <c r="AE214" s="227"/>
      <c r="AF214" s="225" t="s">
        <v>288</v>
      </c>
      <c r="AG214" s="229"/>
    </row>
    <row r="215">
      <c r="A215" s="225" t="s">
        <v>124</v>
      </c>
      <c r="B215" s="225" t="s">
        <v>1341</v>
      </c>
      <c r="C215" s="225" t="s">
        <v>59</v>
      </c>
      <c r="D215" s="226">
        <v>22.1</v>
      </c>
      <c r="E215" s="225" t="s">
        <v>13</v>
      </c>
      <c r="F215" s="227">
        <v>14.0</v>
      </c>
      <c r="G215" s="227">
        <v>1.0</v>
      </c>
      <c r="H215" s="227">
        <v>2.0</v>
      </c>
      <c r="I215" s="227">
        <v>3.0</v>
      </c>
      <c r="J215" s="226">
        <v>0.21428571428571427</v>
      </c>
      <c r="K215" s="226">
        <v>18.0</v>
      </c>
      <c r="L215" s="227">
        <v>10.0</v>
      </c>
      <c r="M215" s="226">
        <v>0.7142857142857143</v>
      </c>
      <c r="N215" s="228">
        <v>0.1</v>
      </c>
      <c r="O215" s="227">
        <v>0.0</v>
      </c>
      <c r="P215" s="226">
        <v>0.0</v>
      </c>
      <c r="Q215" s="225" t="s">
        <v>1217</v>
      </c>
      <c r="R215" s="228">
        <v>0.07</v>
      </c>
      <c r="S215" s="225" t="s">
        <v>1459</v>
      </c>
      <c r="T215" s="227">
        <v>8.0</v>
      </c>
      <c r="U215" s="227">
        <v>33.0</v>
      </c>
      <c r="V215" s="226">
        <v>2.357142857142857</v>
      </c>
      <c r="W215" s="227">
        <v>6.0</v>
      </c>
      <c r="X215" s="226">
        <v>0.42857142857142855</v>
      </c>
      <c r="Y215" s="227"/>
      <c r="Z215" s="228"/>
      <c r="AA215" s="227"/>
      <c r="AB215" s="228">
        <v>0.0</v>
      </c>
      <c r="AC215" s="225"/>
      <c r="AD215" s="225"/>
      <c r="AE215" s="227"/>
      <c r="AF215" s="225" t="s">
        <v>880</v>
      </c>
      <c r="AG215" s="229"/>
    </row>
    <row r="216">
      <c r="A216" s="225" t="s">
        <v>157</v>
      </c>
      <c r="B216" s="225" t="s">
        <v>910</v>
      </c>
      <c r="C216" s="225" t="s">
        <v>418</v>
      </c>
      <c r="D216" s="226">
        <v>21.0</v>
      </c>
      <c r="E216" s="225" t="s">
        <v>13</v>
      </c>
      <c r="F216" s="227">
        <v>66.0</v>
      </c>
      <c r="G216" s="227">
        <v>11.0</v>
      </c>
      <c r="H216" s="227">
        <v>18.0</v>
      </c>
      <c r="I216" s="227">
        <v>29.0</v>
      </c>
      <c r="J216" s="226">
        <v>0.4393939393939394</v>
      </c>
      <c r="K216" s="226">
        <v>36.90909090909091</v>
      </c>
      <c r="L216" s="227">
        <v>92.0</v>
      </c>
      <c r="M216" s="226">
        <v>1.393939393939394</v>
      </c>
      <c r="N216" s="228">
        <v>0.11956521739130435</v>
      </c>
      <c r="O216" s="227">
        <v>6.0</v>
      </c>
      <c r="P216" s="226">
        <v>0.09090909090909091</v>
      </c>
      <c r="Q216" s="225" t="s">
        <v>1301</v>
      </c>
      <c r="R216" s="228">
        <v>0.37200000000000005</v>
      </c>
      <c r="S216" s="225" t="s">
        <v>1460</v>
      </c>
      <c r="T216" s="227">
        <v>45.0</v>
      </c>
      <c r="U216" s="227">
        <v>72.0</v>
      </c>
      <c r="V216" s="226">
        <v>1.0909090909090908</v>
      </c>
      <c r="W216" s="227">
        <v>32.0</v>
      </c>
      <c r="X216" s="226">
        <v>0.48484848484848486</v>
      </c>
      <c r="Y216" s="227"/>
      <c r="Z216" s="228"/>
      <c r="AA216" s="227"/>
      <c r="AB216" s="228">
        <v>0.0</v>
      </c>
      <c r="AC216" s="225"/>
      <c r="AD216" s="225" t="s">
        <v>77</v>
      </c>
      <c r="AE216" s="227">
        <v>60.0</v>
      </c>
      <c r="AF216" s="225" t="s">
        <v>1461</v>
      </c>
      <c r="AG216" s="229" t="s">
        <v>913</v>
      </c>
    </row>
    <row r="217">
      <c r="A217" s="225" t="s">
        <v>157</v>
      </c>
      <c r="B217" s="225" t="s">
        <v>338</v>
      </c>
      <c r="C217" s="225" t="s">
        <v>59</v>
      </c>
      <c r="D217" s="226">
        <v>29.0</v>
      </c>
      <c r="E217" s="225" t="s">
        <v>13</v>
      </c>
      <c r="F217" s="227">
        <v>60.0</v>
      </c>
      <c r="G217" s="227">
        <v>27.0</v>
      </c>
      <c r="H217" s="227">
        <v>26.0</v>
      </c>
      <c r="I217" s="227">
        <v>53.0</v>
      </c>
      <c r="J217" s="226">
        <v>0.8833333333333333</v>
      </c>
      <c r="K217" s="226">
        <v>74.2</v>
      </c>
      <c r="L217" s="227">
        <v>227.0</v>
      </c>
      <c r="M217" s="226">
        <v>3.783333333333333</v>
      </c>
      <c r="N217" s="228">
        <v>0.11894273127753303</v>
      </c>
      <c r="O217" s="227">
        <v>12.0</v>
      </c>
      <c r="P217" s="226">
        <v>0.2</v>
      </c>
      <c r="Q217" s="225" t="s">
        <v>1462</v>
      </c>
      <c r="R217" s="228">
        <v>0.6659999999999999</v>
      </c>
      <c r="S217" s="225" t="s">
        <v>1463</v>
      </c>
      <c r="T217" s="227">
        <v>18.0</v>
      </c>
      <c r="U217" s="227">
        <v>42.0</v>
      </c>
      <c r="V217" s="226">
        <v>0.7</v>
      </c>
      <c r="W217" s="227">
        <v>81.0</v>
      </c>
      <c r="X217" s="226">
        <v>1.35</v>
      </c>
      <c r="Y217" s="227"/>
      <c r="Z217" s="228"/>
      <c r="AA217" s="227"/>
      <c r="AB217" s="228">
        <v>0.258</v>
      </c>
      <c r="AC217" s="225" t="s">
        <v>77</v>
      </c>
      <c r="AD217" s="225" t="s">
        <v>77</v>
      </c>
      <c r="AE217" s="227">
        <v>110.0</v>
      </c>
      <c r="AF217" s="225" t="s">
        <v>1464</v>
      </c>
      <c r="AG217" s="229" t="s">
        <v>341</v>
      </c>
    </row>
    <row r="218">
      <c r="A218" s="225" t="s">
        <v>157</v>
      </c>
      <c r="B218" s="225" t="s">
        <v>232</v>
      </c>
      <c r="C218" s="225" t="s">
        <v>234</v>
      </c>
      <c r="D218" s="226">
        <v>30.0</v>
      </c>
      <c r="E218" s="225" t="s">
        <v>815</v>
      </c>
      <c r="F218" s="227">
        <v>65.0</v>
      </c>
      <c r="G218" s="227">
        <v>30.0</v>
      </c>
      <c r="H218" s="227">
        <v>49.0</v>
      </c>
      <c r="I218" s="227">
        <v>79.0</v>
      </c>
      <c r="J218" s="226">
        <v>1.2153846153846153</v>
      </c>
      <c r="K218" s="226">
        <v>102.09230769230768</v>
      </c>
      <c r="L218" s="227">
        <v>156.0</v>
      </c>
      <c r="M218" s="226">
        <v>2.4</v>
      </c>
      <c r="N218" s="228">
        <v>0.19230769230769232</v>
      </c>
      <c r="O218" s="227">
        <v>22.0</v>
      </c>
      <c r="P218" s="226">
        <v>0.3384615384615385</v>
      </c>
      <c r="Q218" s="225" t="s">
        <v>830</v>
      </c>
      <c r="R218" s="228">
        <v>0.66</v>
      </c>
      <c r="S218" s="225" t="s">
        <v>1465</v>
      </c>
      <c r="T218" s="227">
        <v>16.0</v>
      </c>
      <c r="U218" s="227">
        <v>13.0</v>
      </c>
      <c r="V218" s="226">
        <v>0.2</v>
      </c>
      <c r="W218" s="227">
        <v>26.0</v>
      </c>
      <c r="X218" s="226">
        <v>0.4</v>
      </c>
      <c r="Y218" s="227"/>
      <c r="Z218" s="228"/>
      <c r="AA218" s="227"/>
      <c r="AB218" s="228">
        <v>0.017</v>
      </c>
      <c r="AC218" s="225"/>
      <c r="AD218" s="225"/>
      <c r="AE218" s="227">
        <v>110.0</v>
      </c>
      <c r="AF218" s="225" t="s">
        <v>270</v>
      </c>
      <c r="AG218" s="229" t="s">
        <v>237</v>
      </c>
    </row>
    <row r="219">
      <c r="A219" s="225" t="s">
        <v>157</v>
      </c>
      <c r="B219" s="225" t="s">
        <v>417</v>
      </c>
      <c r="C219" s="225" t="s">
        <v>418</v>
      </c>
      <c r="D219" s="226">
        <v>24.0</v>
      </c>
      <c r="E219" s="225" t="s">
        <v>13</v>
      </c>
      <c r="F219" s="227">
        <v>79.0</v>
      </c>
      <c r="G219" s="227">
        <v>23.0</v>
      </c>
      <c r="H219" s="227">
        <v>43.0</v>
      </c>
      <c r="I219" s="227">
        <v>66.0</v>
      </c>
      <c r="J219" s="226">
        <v>0.8354430379746836</v>
      </c>
      <c r="K219" s="226">
        <v>70.17721518987342</v>
      </c>
      <c r="L219" s="227">
        <v>140.0</v>
      </c>
      <c r="M219" s="226">
        <v>1.7721518987341771</v>
      </c>
      <c r="N219" s="228">
        <v>0.16428571428571428</v>
      </c>
      <c r="O219" s="227">
        <v>16.0</v>
      </c>
      <c r="P219" s="226">
        <v>0.20253164556962025</v>
      </c>
      <c r="Q219" s="225" t="s">
        <v>974</v>
      </c>
      <c r="R219" s="228">
        <v>0.6609999999999999</v>
      </c>
      <c r="S219" s="225" t="s">
        <v>1117</v>
      </c>
      <c r="T219" s="227">
        <v>29.0</v>
      </c>
      <c r="U219" s="227">
        <v>152.0</v>
      </c>
      <c r="V219" s="226">
        <v>1.9240506329113924</v>
      </c>
      <c r="W219" s="227">
        <v>32.0</v>
      </c>
      <c r="X219" s="226">
        <v>0.4050632911392405</v>
      </c>
      <c r="Y219" s="227"/>
      <c r="Z219" s="228"/>
      <c r="AA219" s="227"/>
      <c r="AB219" s="228">
        <v>0.23399999999999999</v>
      </c>
      <c r="AC219" s="225"/>
      <c r="AD219" s="225"/>
      <c r="AE219" s="227">
        <v>90.0</v>
      </c>
      <c r="AF219" s="225" t="s">
        <v>874</v>
      </c>
      <c r="AG219" s="229" t="s">
        <v>421</v>
      </c>
    </row>
    <row r="220">
      <c r="A220" s="225" t="s">
        <v>157</v>
      </c>
      <c r="B220" s="225" t="s">
        <v>589</v>
      </c>
      <c r="C220" s="225" t="s">
        <v>59</v>
      </c>
      <c r="D220" s="226">
        <v>36.0</v>
      </c>
      <c r="E220" s="225" t="s">
        <v>13</v>
      </c>
      <c r="F220" s="227">
        <v>82.0</v>
      </c>
      <c r="G220" s="227">
        <v>31.0</v>
      </c>
      <c r="H220" s="227">
        <v>40.0</v>
      </c>
      <c r="I220" s="227">
        <v>71.0</v>
      </c>
      <c r="J220" s="226">
        <v>0.8658536585365854</v>
      </c>
      <c r="K220" s="226">
        <v>72.73170731707317</v>
      </c>
      <c r="L220" s="227">
        <v>192.0</v>
      </c>
      <c r="M220" s="226">
        <v>2.341463414634146</v>
      </c>
      <c r="N220" s="228">
        <v>0.16145833333333334</v>
      </c>
      <c r="O220" s="227">
        <v>21.0</v>
      </c>
      <c r="P220" s="226">
        <v>0.25609756097560976</v>
      </c>
      <c r="Q220" s="225" t="s">
        <v>1466</v>
      </c>
      <c r="R220" s="228">
        <v>0.6609999999999999</v>
      </c>
      <c r="S220" s="225" t="s">
        <v>1248</v>
      </c>
      <c r="T220" s="227">
        <v>28.0</v>
      </c>
      <c r="U220" s="227">
        <v>74.0</v>
      </c>
      <c r="V220" s="226">
        <v>0.9024390243902439</v>
      </c>
      <c r="W220" s="227">
        <v>24.0</v>
      </c>
      <c r="X220" s="226">
        <v>0.2926829268292683</v>
      </c>
      <c r="Y220" s="227"/>
      <c r="Z220" s="228"/>
      <c r="AA220" s="227"/>
      <c r="AB220" s="228">
        <v>0.004</v>
      </c>
      <c r="AC220" s="225"/>
      <c r="AD220" s="225" t="s">
        <v>77</v>
      </c>
      <c r="AE220" s="227">
        <v>80.0</v>
      </c>
      <c r="AF220" s="225" t="s">
        <v>1467</v>
      </c>
      <c r="AG220" s="229" t="s">
        <v>592</v>
      </c>
    </row>
    <row r="221">
      <c r="A221" s="225" t="s">
        <v>157</v>
      </c>
      <c r="B221" s="225" t="s">
        <v>1037</v>
      </c>
      <c r="C221" s="225" t="s">
        <v>1038</v>
      </c>
      <c r="D221" s="226">
        <v>29.0</v>
      </c>
      <c r="E221" s="225" t="s">
        <v>815</v>
      </c>
      <c r="F221" s="227">
        <v>69.0</v>
      </c>
      <c r="G221" s="227">
        <v>21.0</v>
      </c>
      <c r="H221" s="227">
        <v>15.0</v>
      </c>
      <c r="I221" s="227">
        <v>36.0</v>
      </c>
      <c r="J221" s="226">
        <v>0.5217391304347826</v>
      </c>
      <c r="K221" s="226">
        <v>43.826086956521735</v>
      </c>
      <c r="L221" s="227">
        <v>141.0</v>
      </c>
      <c r="M221" s="226">
        <v>2.0434782608695654</v>
      </c>
      <c r="N221" s="228">
        <v>0.14893617021276595</v>
      </c>
      <c r="O221" s="227">
        <v>6.0</v>
      </c>
      <c r="P221" s="226">
        <v>0.08695652173913043</v>
      </c>
      <c r="Q221" s="225" t="s">
        <v>1426</v>
      </c>
      <c r="R221" s="228">
        <v>0.285</v>
      </c>
      <c r="S221" s="225" t="s">
        <v>1468</v>
      </c>
      <c r="T221" s="227">
        <v>16.0</v>
      </c>
      <c r="U221" s="227">
        <v>46.0</v>
      </c>
      <c r="V221" s="226">
        <v>0.6666666666666666</v>
      </c>
      <c r="W221" s="227">
        <v>27.0</v>
      </c>
      <c r="X221" s="226">
        <v>0.391304347826087</v>
      </c>
      <c r="Y221" s="227"/>
      <c r="Z221" s="228"/>
      <c r="AA221" s="227"/>
      <c r="AB221" s="228">
        <v>0.001</v>
      </c>
      <c r="AC221" s="225"/>
      <c r="AD221" s="225"/>
      <c r="AE221" s="227">
        <v>50.0</v>
      </c>
      <c r="AF221" s="225" t="s">
        <v>221</v>
      </c>
      <c r="AG221" s="229" t="s">
        <v>1039</v>
      </c>
    </row>
    <row r="222">
      <c r="A222" s="225" t="s">
        <v>157</v>
      </c>
      <c r="B222" s="225" t="s">
        <v>770</v>
      </c>
      <c r="C222" s="225" t="s">
        <v>418</v>
      </c>
      <c r="D222" s="226">
        <v>18.0</v>
      </c>
      <c r="E222" s="225"/>
      <c r="F222" s="227"/>
      <c r="G222" s="227"/>
      <c r="H222" s="227"/>
      <c r="I222" s="227"/>
      <c r="J222" s="226"/>
      <c r="K222" s="226"/>
      <c r="L222" s="227"/>
      <c r="M222" s="226"/>
      <c r="N222" s="228"/>
      <c r="O222" s="227"/>
      <c r="P222" s="226"/>
      <c r="Q222" s="225"/>
      <c r="R222" s="228"/>
      <c r="S222" s="225"/>
      <c r="T222" s="227"/>
      <c r="U222" s="227"/>
      <c r="V222" s="226"/>
      <c r="W222" s="227"/>
      <c r="X222" s="226"/>
      <c r="Y222" s="227"/>
      <c r="Z222" s="228"/>
      <c r="AA222" s="227"/>
      <c r="AB222" s="228"/>
      <c r="AC222" s="225"/>
      <c r="AD222" s="225"/>
      <c r="AE222" s="227">
        <v>70.0</v>
      </c>
      <c r="AF222" s="225" t="s">
        <v>283</v>
      </c>
      <c r="AG222" s="229" t="s">
        <v>771</v>
      </c>
    </row>
    <row r="223">
      <c r="A223" s="225" t="s">
        <v>57</v>
      </c>
      <c r="B223" s="225" t="s">
        <v>263</v>
      </c>
      <c r="C223" s="225" t="s">
        <v>165</v>
      </c>
      <c r="D223" s="226">
        <v>28.0</v>
      </c>
      <c r="E223" s="225" t="s">
        <v>13</v>
      </c>
      <c r="F223" s="227">
        <v>82.0</v>
      </c>
      <c r="G223" s="227">
        <v>26.0</v>
      </c>
      <c r="H223" s="227">
        <v>62.0</v>
      </c>
      <c r="I223" s="227">
        <v>88.0</v>
      </c>
      <c r="J223" s="226">
        <v>1.0731707317073171</v>
      </c>
      <c r="K223" s="226">
        <v>90.14634146341464</v>
      </c>
      <c r="L223" s="227">
        <v>225.0</v>
      </c>
      <c r="M223" s="226">
        <v>2.7439024390243905</v>
      </c>
      <c r="N223" s="228">
        <v>0.11555555555555555</v>
      </c>
      <c r="O223" s="227">
        <v>27.0</v>
      </c>
      <c r="P223" s="226">
        <v>0.32926829268292684</v>
      </c>
      <c r="Q223" s="225" t="s">
        <v>909</v>
      </c>
      <c r="R223" s="228">
        <v>0.708</v>
      </c>
      <c r="S223" s="225" t="s">
        <v>1238</v>
      </c>
      <c r="T223" s="227">
        <v>38.0</v>
      </c>
      <c r="U223" s="227">
        <v>8.0</v>
      </c>
      <c r="V223" s="226">
        <v>0.0975609756097561</v>
      </c>
      <c r="W223" s="227">
        <v>32.0</v>
      </c>
      <c r="X223" s="226">
        <v>0.3902439024390244</v>
      </c>
      <c r="Y223" s="227"/>
      <c r="Z223" s="228"/>
      <c r="AA223" s="227"/>
      <c r="AB223" s="228">
        <v>0.002</v>
      </c>
      <c r="AC223" s="225"/>
      <c r="AD223" s="225"/>
      <c r="AE223" s="227">
        <v>100.0</v>
      </c>
      <c r="AF223" s="225" t="s">
        <v>1469</v>
      </c>
      <c r="AG223" s="229" t="s">
        <v>266</v>
      </c>
    </row>
    <row r="224">
      <c r="A224" s="225" t="s">
        <v>57</v>
      </c>
      <c r="B224" s="225" t="s">
        <v>612</v>
      </c>
      <c r="C224" s="225" t="s">
        <v>59</v>
      </c>
      <c r="D224" s="226">
        <v>30.0</v>
      </c>
      <c r="E224" s="225" t="s">
        <v>815</v>
      </c>
      <c r="F224" s="227">
        <v>82.0</v>
      </c>
      <c r="G224" s="227">
        <v>33.0</v>
      </c>
      <c r="H224" s="227">
        <v>41.0</v>
      </c>
      <c r="I224" s="227">
        <v>74.0</v>
      </c>
      <c r="J224" s="226">
        <v>0.9024390243902439</v>
      </c>
      <c r="K224" s="226">
        <v>75.8048780487805</v>
      </c>
      <c r="L224" s="227">
        <v>206.0</v>
      </c>
      <c r="M224" s="226">
        <v>2.5121951219512195</v>
      </c>
      <c r="N224" s="228">
        <v>0.16019417475728157</v>
      </c>
      <c r="O224" s="227">
        <v>20.0</v>
      </c>
      <c r="P224" s="226">
        <v>0.24390243902439024</v>
      </c>
      <c r="Q224" s="225" t="s">
        <v>1470</v>
      </c>
      <c r="R224" s="228">
        <v>0.682</v>
      </c>
      <c r="S224" s="225" t="s">
        <v>1471</v>
      </c>
      <c r="T224" s="227">
        <v>28.0</v>
      </c>
      <c r="U224" s="227">
        <v>23.0</v>
      </c>
      <c r="V224" s="226">
        <v>0.2804878048780488</v>
      </c>
      <c r="W224" s="227">
        <v>52.0</v>
      </c>
      <c r="X224" s="226">
        <v>0.6341463414634146</v>
      </c>
      <c r="Y224" s="227"/>
      <c r="Z224" s="228"/>
      <c r="AA224" s="227"/>
      <c r="AB224" s="228">
        <v>0.29100000000000004</v>
      </c>
      <c r="AC224" s="225"/>
      <c r="AD224" s="225"/>
      <c r="AE224" s="227">
        <v>75.0</v>
      </c>
      <c r="AF224" s="225" t="s">
        <v>104</v>
      </c>
      <c r="AG224" s="229" t="s">
        <v>614</v>
      </c>
    </row>
    <row r="225">
      <c r="A225" s="225" t="s">
        <v>57</v>
      </c>
      <c r="B225" s="225" t="s">
        <v>983</v>
      </c>
      <c r="C225" s="225" t="s">
        <v>123</v>
      </c>
      <c r="D225" s="226">
        <v>29.0</v>
      </c>
      <c r="E225" s="225" t="s">
        <v>13</v>
      </c>
      <c r="F225" s="227">
        <v>81.0</v>
      </c>
      <c r="G225" s="227">
        <v>24.0</v>
      </c>
      <c r="H225" s="227">
        <v>20.0</v>
      </c>
      <c r="I225" s="227">
        <v>44.0</v>
      </c>
      <c r="J225" s="226">
        <v>0.5432098765432098</v>
      </c>
      <c r="K225" s="226">
        <v>45.629629629629626</v>
      </c>
      <c r="L225" s="227">
        <v>141.0</v>
      </c>
      <c r="M225" s="226">
        <v>1.7407407407407407</v>
      </c>
      <c r="N225" s="228">
        <v>0.1702127659574468</v>
      </c>
      <c r="O225" s="227">
        <v>1.0</v>
      </c>
      <c r="P225" s="226">
        <v>0.012345679012345678</v>
      </c>
      <c r="Q225" s="225" t="s">
        <v>1288</v>
      </c>
      <c r="R225" s="228">
        <v>0.223</v>
      </c>
      <c r="S225" s="225" t="s">
        <v>958</v>
      </c>
      <c r="T225" s="227">
        <v>46.0</v>
      </c>
      <c r="U225" s="227">
        <v>212.0</v>
      </c>
      <c r="V225" s="226">
        <v>2.617283950617284</v>
      </c>
      <c r="W225" s="227">
        <v>52.0</v>
      </c>
      <c r="X225" s="226">
        <v>0.6419753086419753</v>
      </c>
      <c r="Y225" s="227"/>
      <c r="Z225" s="228"/>
      <c r="AA225" s="227"/>
      <c r="AB225" s="228">
        <v>0.536</v>
      </c>
      <c r="AC225" s="225"/>
      <c r="AD225" s="225"/>
      <c r="AE225" s="227">
        <v>50.0</v>
      </c>
      <c r="AF225" s="225" t="s">
        <v>1406</v>
      </c>
      <c r="AG225" s="229" t="s">
        <v>987</v>
      </c>
    </row>
    <row r="226">
      <c r="A226" s="225" t="s">
        <v>57</v>
      </c>
      <c r="B226" s="225" t="s">
        <v>447</v>
      </c>
      <c r="C226" s="225" t="s">
        <v>59</v>
      </c>
      <c r="D226" s="226">
        <v>22.0</v>
      </c>
      <c r="E226" s="225" t="s">
        <v>13</v>
      </c>
      <c r="F226" s="227">
        <v>54.0</v>
      </c>
      <c r="G226" s="227">
        <v>24.0</v>
      </c>
      <c r="H226" s="227">
        <v>19.0</v>
      </c>
      <c r="I226" s="227">
        <v>43.0</v>
      </c>
      <c r="J226" s="226">
        <v>0.7962962962962963</v>
      </c>
      <c r="K226" s="226">
        <v>66.88888888888889</v>
      </c>
      <c r="L226" s="227">
        <v>102.0</v>
      </c>
      <c r="M226" s="226">
        <v>1.8888888888888888</v>
      </c>
      <c r="N226" s="228">
        <v>0.23529411764705882</v>
      </c>
      <c r="O226" s="227">
        <v>10.0</v>
      </c>
      <c r="P226" s="226">
        <v>0.18518518518518517</v>
      </c>
      <c r="Q226" s="225" t="s">
        <v>1062</v>
      </c>
      <c r="R226" s="228">
        <v>0.561</v>
      </c>
      <c r="S226" s="225" t="s">
        <v>1109</v>
      </c>
      <c r="T226" s="227">
        <v>28.0</v>
      </c>
      <c r="U226" s="227">
        <v>54.0</v>
      </c>
      <c r="V226" s="226">
        <v>1.0</v>
      </c>
      <c r="W226" s="227">
        <v>27.0</v>
      </c>
      <c r="X226" s="226">
        <v>0.5</v>
      </c>
      <c r="Y226" s="227"/>
      <c r="Z226" s="228"/>
      <c r="AA226" s="227"/>
      <c r="AB226" s="228">
        <v>0.109</v>
      </c>
      <c r="AC226" s="225"/>
      <c r="AD226" s="225"/>
      <c r="AE226" s="227">
        <v>90.0</v>
      </c>
      <c r="AF226" s="225" t="s">
        <v>994</v>
      </c>
      <c r="AG226" s="229" t="s">
        <v>452</v>
      </c>
    </row>
    <row r="227">
      <c r="A227" s="225" t="s">
        <v>57</v>
      </c>
      <c r="B227" s="225" t="s">
        <v>318</v>
      </c>
      <c r="C227" s="225" t="s">
        <v>123</v>
      </c>
      <c r="D227" s="226">
        <v>23.0</v>
      </c>
      <c r="E227" s="225" t="s">
        <v>815</v>
      </c>
      <c r="F227" s="227">
        <v>79.0</v>
      </c>
      <c r="G227" s="227">
        <v>40.0</v>
      </c>
      <c r="H227" s="227">
        <v>33.0</v>
      </c>
      <c r="I227" s="227">
        <v>73.0</v>
      </c>
      <c r="J227" s="226">
        <v>0.9240506329113924</v>
      </c>
      <c r="K227" s="226">
        <v>77.62025316455697</v>
      </c>
      <c r="L227" s="227">
        <v>242.0</v>
      </c>
      <c r="M227" s="226">
        <v>3.0632911392405062</v>
      </c>
      <c r="N227" s="228">
        <v>0.1652892561983471</v>
      </c>
      <c r="O227" s="227">
        <v>24.0</v>
      </c>
      <c r="P227" s="226">
        <v>0.3037974683544304</v>
      </c>
      <c r="Q227" s="225" t="s">
        <v>806</v>
      </c>
      <c r="R227" s="228">
        <v>0.693</v>
      </c>
      <c r="S227" s="225" t="s">
        <v>862</v>
      </c>
      <c r="T227" s="227">
        <v>28.0</v>
      </c>
      <c r="U227" s="227">
        <v>66.0</v>
      </c>
      <c r="V227" s="226">
        <v>0.8354430379746836</v>
      </c>
      <c r="W227" s="227">
        <v>28.0</v>
      </c>
      <c r="X227" s="226">
        <v>0.35443037974683544</v>
      </c>
      <c r="Y227" s="227"/>
      <c r="Z227" s="228"/>
      <c r="AA227" s="227"/>
      <c r="AB227" s="228">
        <v>0.054000000000000006</v>
      </c>
      <c r="AC227" s="225"/>
      <c r="AD227" s="225"/>
      <c r="AE227" s="227">
        <v>95.0</v>
      </c>
      <c r="AF227" s="225" t="s">
        <v>889</v>
      </c>
      <c r="AG227" s="229" t="s">
        <v>321</v>
      </c>
    </row>
    <row r="228">
      <c r="A228" s="225" t="s">
        <v>57</v>
      </c>
      <c r="B228" s="225" t="s">
        <v>677</v>
      </c>
      <c r="C228" s="225" t="s">
        <v>59</v>
      </c>
      <c r="D228" s="226">
        <v>33.0</v>
      </c>
      <c r="E228" s="225" t="s">
        <v>815</v>
      </c>
      <c r="F228" s="227">
        <v>67.0</v>
      </c>
      <c r="G228" s="227">
        <v>16.0</v>
      </c>
      <c r="H228" s="227">
        <v>37.0</v>
      </c>
      <c r="I228" s="227">
        <v>53.0</v>
      </c>
      <c r="J228" s="226">
        <v>0.7910447761194029</v>
      </c>
      <c r="K228" s="226">
        <v>66.44776119402985</v>
      </c>
      <c r="L228" s="227">
        <v>114.0</v>
      </c>
      <c r="M228" s="226">
        <v>1.7014925373134329</v>
      </c>
      <c r="N228" s="228">
        <v>0.14035087719298245</v>
      </c>
      <c r="O228" s="227">
        <v>16.0</v>
      </c>
      <c r="P228" s="226">
        <v>0.23880597014925373</v>
      </c>
      <c r="Q228" s="225" t="s">
        <v>1196</v>
      </c>
      <c r="R228" s="228">
        <v>0.718</v>
      </c>
      <c r="S228" s="225" t="s">
        <v>1472</v>
      </c>
      <c r="T228" s="227">
        <v>64.0</v>
      </c>
      <c r="U228" s="227">
        <v>193.0</v>
      </c>
      <c r="V228" s="226">
        <v>2.8805970149253732</v>
      </c>
      <c r="W228" s="227">
        <v>49.0</v>
      </c>
      <c r="X228" s="226">
        <v>0.7313432835820896</v>
      </c>
      <c r="Y228" s="227"/>
      <c r="Z228" s="228"/>
      <c r="AA228" s="227"/>
      <c r="AB228" s="228">
        <v>0.382</v>
      </c>
      <c r="AC228" s="225"/>
      <c r="AD228" s="225"/>
      <c r="AE228" s="227">
        <v>75.0</v>
      </c>
      <c r="AF228" s="225" t="s">
        <v>1126</v>
      </c>
      <c r="AG228" s="229" t="s">
        <v>680</v>
      </c>
    </row>
    <row r="229">
      <c r="A229" s="225" t="s">
        <v>57</v>
      </c>
      <c r="B229" s="225" t="s">
        <v>1292</v>
      </c>
      <c r="C229" s="225" t="s">
        <v>333</v>
      </c>
      <c r="D229" s="226">
        <v>21.0</v>
      </c>
      <c r="E229" s="225" t="s">
        <v>815</v>
      </c>
      <c r="F229" s="227">
        <v>29.0</v>
      </c>
      <c r="G229" s="227">
        <v>3.0</v>
      </c>
      <c r="H229" s="227">
        <v>4.0</v>
      </c>
      <c r="I229" s="227">
        <v>7.0</v>
      </c>
      <c r="J229" s="226">
        <v>0.2413793103448276</v>
      </c>
      <c r="K229" s="226">
        <v>20.27586206896552</v>
      </c>
      <c r="L229" s="227">
        <v>43.0</v>
      </c>
      <c r="M229" s="226">
        <v>1.4827586206896552</v>
      </c>
      <c r="N229" s="228">
        <v>0.06976744186046512</v>
      </c>
      <c r="O229" s="227">
        <v>3.0</v>
      </c>
      <c r="P229" s="226">
        <v>0.10344827586206896</v>
      </c>
      <c r="Q229" s="225" t="s">
        <v>1124</v>
      </c>
      <c r="R229" s="228">
        <v>0.278</v>
      </c>
      <c r="S229" s="225" t="s">
        <v>1473</v>
      </c>
      <c r="T229" s="227">
        <v>8.0</v>
      </c>
      <c r="U229" s="227">
        <v>16.0</v>
      </c>
      <c r="V229" s="226">
        <v>0.5517241379310345</v>
      </c>
      <c r="W229" s="227">
        <v>18.0</v>
      </c>
      <c r="X229" s="226">
        <v>0.6206896551724138</v>
      </c>
      <c r="Y229" s="227"/>
      <c r="Z229" s="228"/>
      <c r="AA229" s="227"/>
      <c r="AB229" s="228">
        <v>0.001</v>
      </c>
      <c r="AC229" s="225"/>
      <c r="AD229" s="225" t="s">
        <v>77</v>
      </c>
      <c r="AE229" s="227">
        <v>45.0</v>
      </c>
      <c r="AF229" s="225" t="s">
        <v>1474</v>
      </c>
      <c r="AG229" s="229" t="s">
        <v>1293</v>
      </c>
    </row>
    <row r="230">
      <c r="A230" s="225" t="s">
        <v>57</v>
      </c>
      <c r="B230" s="225" t="s">
        <v>1336</v>
      </c>
      <c r="C230" s="225" t="s">
        <v>59</v>
      </c>
      <c r="D230" s="226">
        <v>19.0</v>
      </c>
      <c r="E230" s="225"/>
      <c r="F230" s="227"/>
      <c r="G230" s="227"/>
      <c r="H230" s="227"/>
      <c r="I230" s="227"/>
      <c r="J230" s="226"/>
      <c r="K230" s="226"/>
      <c r="L230" s="227"/>
      <c r="M230" s="226"/>
      <c r="N230" s="228"/>
      <c r="O230" s="227"/>
      <c r="P230" s="226"/>
      <c r="Q230" s="225"/>
      <c r="R230" s="228"/>
      <c r="S230" s="225"/>
      <c r="T230" s="227"/>
      <c r="U230" s="227"/>
      <c r="V230" s="226"/>
      <c r="W230" s="227"/>
      <c r="X230" s="226"/>
      <c r="Y230" s="227"/>
      <c r="Z230" s="228"/>
      <c r="AA230" s="227"/>
      <c r="AB230" s="228"/>
      <c r="AC230" s="225"/>
      <c r="AD230" s="225" t="s">
        <v>77</v>
      </c>
      <c r="AE230" s="227">
        <v>35.0</v>
      </c>
      <c r="AF230" s="225">
        <v>1075000.0</v>
      </c>
      <c r="AG230" s="229" t="s">
        <v>1316</v>
      </c>
    </row>
    <row r="231">
      <c r="A231" s="225" t="s">
        <v>57</v>
      </c>
      <c r="B231" s="225" t="s">
        <v>1074</v>
      </c>
      <c r="C231" s="225" t="s">
        <v>165</v>
      </c>
      <c r="D231" s="226">
        <v>19.0</v>
      </c>
      <c r="E231" s="225" t="s">
        <v>13</v>
      </c>
      <c r="F231" s="227">
        <v>82.0</v>
      </c>
      <c r="G231" s="227">
        <v>19.0</v>
      </c>
      <c r="H231" s="227">
        <v>23.0</v>
      </c>
      <c r="I231" s="227">
        <v>42.0</v>
      </c>
      <c r="J231" s="226">
        <v>0.5121951219512195</v>
      </c>
      <c r="K231" s="226">
        <v>43.02439024390244</v>
      </c>
      <c r="L231" s="227">
        <v>199.0</v>
      </c>
      <c r="M231" s="226">
        <v>2.426829268292683</v>
      </c>
      <c r="N231" s="228">
        <v>0.09547738693467336</v>
      </c>
      <c r="O231" s="227">
        <v>8.0</v>
      </c>
      <c r="P231" s="226">
        <v>0.0975609756097561</v>
      </c>
      <c r="Q231" s="225" t="s">
        <v>1224</v>
      </c>
      <c r="R231" s="228">
        <v>0.359</v>
      </c>
      <c r="S231" s="225" t="s">
        <v>1475</v>
      </c>
      <c r="T231" s="227">
        <v>44.0</v>
      </c>
      <c r="U231" s="227">
        <v>91.0</v>
      </c>
      <c r="V231" s="226">
        <v>1.1097560975609757</v>
      </c>
      <c r="W231" s="227">
        <v>37.0</v>
      </c>
      <c r="X231" s="226">
        <v>0.45121951219512196</v>
      </c>
      <c r="Y231" s="227"/>
      <c r="Z231" s="228"/>
      <c r="AA231" s="227"/>
      <c r="AB231" s="228">
        <v>0.003</v>
      </c>
      <c r="AC231" s="225"/>
      <c r="AD231" s="225"/>
      <c r="AE231" s="227">
        <v>50.0</v>
      </c>
      <c r="AF231" s="225" t="s">
        <v>819</v>
      </c>
      <c r="AG231" s="229" t="s">
        <v>1075</v>
      </c>
    </row>
    <row r="232">
      <c r="A232" s="225" t="s">
        <v>57</v>
      </c>
      <c r="B232" s="225" t="s">
        <v>1312</v>
      </c>
      <c r="C232" s="225" t="s">
        <v>59</v>
      </c>
      <c r="D232" s="226">
        <v>20.0</v>
      </c>
      <c r="E232" s="225"/>
      <c r="F232" s="227"/>
      <c r="G232" s="227"/>
      <c r="H232" s="227"/>
      <c r="I232" s="227"/>
      <c r="J232" s="226"/>
      <c r="K232" s="226"/>
      <c r="L232" s="227"/>
      <c r="M232" s="226"/>
      <c r="N232" s="228"/>
      <c r="O232" s="227"/>
      <c r="P232" s="226"/>
      <c r="Q232" s="225"/>
      <c r="R232" s="228"/>
      <c r="S232" s="225"/>
      <c r="T232" s="227"/>
      <c r="U232" s="227"/>
      <c r="V232" s="226"/>
      <c r="W232" s="227"/>
      <c r="X232" s="226"/>
      <c r="Y232" s="227"/>
      <c r="Z232" s="228"/>
      <c r="AA232" s="227"/>
      <c r="AB232" s="228"/>
      <c r="AC232" s="225"/>
      <c r="AD232" s="225" t="s">
        <v>77</v>
      </c>
      <c r="AE232" s="227">
        <v>40.0</v>
      </c>
      <c r="AF232" s="225">
        <v>941667.0</v>
      </c>
      <c r="AG232" s="229" t="s">
        <v>1316</v>
      </c>
    </row>
    <row r="233">
      <c r="A233" s="225" t="s">
        <v>261</v>
      </c>
      <c r="B233" s="225" t="s">
        <v>751</v>
      </c>
      <c r="C233" s="225" t="s">
        <v>59</v>
      </c>
      <c r="D233" s="226">
        <v>27.0</v>
      </c>
      <c r="E233" s="225" t="s">
        <v>13</v>
      </c>
      <c r="F233" s="227">
        <v>74.0</v>
      </c>
      <c r="G233" s="227">
        <v>15.0</v>
      </c>
      <c r="H233" s="227">
        <v>36.0</v>
      </c>
      <c r="I233" s="227">
        <v>51.0</v>
      </c>
      <c r="J233" s="226">
        <v>0.6891891891891891</v>
      </c>
      <c r="K233" s="226">
        <v>57.89189189189189</v>
      </c>
      <c r="L233" s="227">
        <v>132.0</v>
      </c>
      <c r="M233" s="226">
        <v>1.7837837837837838</v>
      </c>
      <c r="N233" s="228">
        <v>0.11363636363636363</v>
      </c>
      <c r="O233" s="227">
        <v>22.0</v>
      </c>
      <c r="P233" s="226">
        <v>0.2972972972972973</v>
      </c>
      <c r="Q233" s="225" t="s">
        <v>1476</v>
      </c>
      <c r="R233" s="228">
        <v>0.698</v>
      </c>
      <c r="S233" s="225" t="s">
        <v>1477</v>
      </c>
      <c r="T233" s="227">
        <v>20.0</v>
      </c>
      <c r="U233" s="227">
        <v>67.0</v>
      </c>
      <c r="V233" s="226">
        <v>0.9054054054054054</v>
      </c>
      <c r="W233" s="227">
        <v>108.0</v>
      </c>
      <c r="X233" s="226">
        <v>1.4594594594594594</v>
      </c>
      <c r="Y233" s="227"/>
      <c r="Z233" s="228"/>
      <c r="AA233" s="227"/>
      <c r="AB233" s="228">
        <v>0.213</v>
      </c>
      <c r="AC233" s="225" t="s">
        <v>77</v>
      </c>
      <c r="AD233" s="225" t="s">
        <v>77</v>
      </c>
      <c r="AE233" s="227">
        <v>65.0</v>
      </c>
      <c r="AF233" s="225" t="s">
        <v>1478</v>
      </c>
      <c r="AG233" s="229" t="s">
        <v>752</v>
      </c>
    </row>
    <row r="234">
      <c r="A234" s="225" t="s">
        <v>261</v>
      </c>
      <c r="B234" s="225" t="s">
        <v>829</v>
      </c>
      <c r="C234" s="225" t="s">
        <v>123</v>
      </c>
      <c r="D234" s="226">
        <v>29.0</v>
      </c>
      <c r="E234" s="225" t="s">
        <v>815</v>
      </c>
      <c r="F234" s="227">
        <v>75.0</v>
      </c>
      <c r="G234" s="227">
        <v>22.0</v>
      </c>
      <c r="H234" s="227">
        <v>26.0</v>
      </c>
      <c r="I234" s="227">
        <v>48.0</v>
      </c>
      <c r="J234" s="226">
        <v>0.64</v>
      </c>
      <c r="K234" s="226">
        <v>53.76</v>
      </c>
      <c r="L234" s="227">
        <v>166.0</v>
      </c>
      <c r="M234" s="226">
        <v>2.2133333333333334</v>
      </c>
      <c r="N234" s="228">
        <v>0.13253012048192772</v>
      </c>
      <c r="O234" s="227">
        <v>19.0</v>
      </c>
      <c r="P234" s="226">
        <v>0.25333333333333335</v>
      </c>
      <c r="Q234" s="225" t="s">
        <v>1253</v>
      </c>
      <c r="R234" s="228">
        <v>0.72</v>
      </c>
      <c r="S234" s="225" t="s">
        <v>1479</v>
      </c>
      <c r="T234" s="227">
        <v>8.0</v>
      </c>
      <c r="U234" s="227">
        <v>54.0</v>
      </c>
      <c r="V234" s="226">
        <v>0.72</v>
      </c>
      <c r="W234" s="227">
        <v>26.0</v>
      </c>
      <c r="X234" s="226">
        <v>0.3466666666666667</v>
      </c>
      <c r="Y234" s="227"/>
      <c r="Z234" s="228"/>
      <c r="AA234" s="227"/>
      <c r="AB234" s="228">
        <v>0.20800000000000002</v>
      </c>
      <c r="AC234" s="225"/>
      <c r="AD234" s="225"/>
      <c r="AE234" s="227">
        <v>65.0</v>
      </c>
      <c r="AF234" s="225" t="s">
        <v>1277</v>
      </c>
      <c r="AG234" s="229" t="s">
        <v>834</v>
      </c>
    </row>
    <row r="235">
      <c r="A235" s="225" t="s">
        <v>261</v>
      </c>
      <c r="B235" s="225" t="s">
        <v>936</v>
      </c>
      <c r="C235" s="225" t="s">
        <v>404</v>
      </c>
      <c r="D235" s="226">
        <v>30.0</v>
      </c>
      <c r="E235" s="225" t="s">
        <v>13</v>
      </c>
      <c r="F235" s="227">
        <v>81.0</v>
      </c>
      <c r="G235" s="227">
        <v>23.0</v>
      </c>
      <c r="H235" s="227">
        <v>19.0</v>
      </c>
      <c r="I235" s="227">
        <v>42.0</v>
      </c>
      <c r="J235" s="226">
        <v>0.5185185185185185</v>
      </c>
      <c r="K235" s="226">
        <v>43.55555555555555</v>
      </c>
      <c r="L235" s="227">
        <v>219.0</v>
      </c>
      <c r="M235" s="226">
        <v>2.7037037037037037</v>
      </c>
      <c r="N235" s="228">
        <v>0.1050228310502283</v>
      </c>
      <c r="O235" s="227">
        <v>24.0</v>
      </c>
      <c r="P235" s="226">
        <v>0.2962962962962963</v>
      </c>
      <c r="Q235" s="225" t="s">
        <v>1403</v>
      </c>
      <c r="R235" s="228">
        <v>0.6679999999999999</v>
      </c>
      <c r="S235" s="225" t="s">
        <v>1480</v>
      </c>
      <c r="T235" s="227">
        <v>12.0</v>
      </c>
      <c r="U235" s="227">
        <v>66.0</v>
      </c>
      <c r="V235" s="226">
        <v>0.8148148148148148</v>
      </c>
      <c r="W235" s="227">
        <v>34.0</v>
      </c>
      <c r="X235" s="226">
        <v>0.41975308641975306</v>
      </c>
      <c r="Y235" s="227"/>
      <c r="Z235" s="228"/>
      <c r="AA235" s="227"/>
      <c r="AB235" s="228">
        <v>0.168</v>
      </c>
      <c r="AC235" s="225"/>
      <c r="AD235" s="225"/>
      <c r="AE235" s="227">
        <v>55.0</v>
      </c>
      <c r="AF235" s="225" t="s">
        <v>864</v>
      </c>
      <c r="AG235" s="229" t="s">
        <v>1481</v>
      </c>
    </row>
    <row r="236">
      <c r="A236" s="225" t="s">
        <v>261</v>
      </c>
      <c r="B236" s="225" t="s">
        <v>728</v>
      </c>
      <c r="C236" s="225" t="s">
        <v>59</v>
      </c>
      <c r="D236" s="226">
        <v>25.0</v>
      </c>
      <c r="E236" s="225" t="s">
        <v>13</v>
      </c>
      <c r="F236" s="227">
        <v>50.0</v>
      </c>
      <c r="G236" s="227">
        <v>12.0</v>
      </c>
      <c r="H236" s="227">
        <v>23.0</v>
      </c>
      <c r="I236" s="227">
        <v>35.0</v>
      </c>
      <c r="J236" s="226">
        <v>0.7</v>
      </c>
      <c r="K236" s="226">
        <v>58.8</v>
      </c>
      <c r="L236" s="227">
        <v>66.0</v>
      </c>
      <c r="M236" s="226">
        <v>1.32</v>
      </c>
      <c r="N236" s="228">
        <v>0.18181818181818182</v>
      </c>
      <c r="O236" s="227">
        <v>14.0</v>
      </c>
      <c r="P236" s="226">
        <v>0.28</v>
      </c>
      <c r="Q236" s="225" t="s">
        <v>1337</v>
      </c>
      <c r="R236" s="228">
        <v>0.524</v>
      </c>
      <c r="S236" s="225" t="s">
        <v>1482</v>
      </c>
      <c r="T236" s="227">
        <v>10.0</v>
      </c>
      <c r="U236" s="227">
        <v>47.0</v>
      </c>
      <c r="V236" s="226">
        <v>0.94</v>
      </c>
      <c r="W236" s="227">
        <v>30.0</v>
      </c>
      <c r="X236" s="226">
        <v>0.6</v>
      </c>
      <c r="Y236" s="227"/>
      <c r="Z236" s="228"/>
      <c r="AA236" s="227"/>
      <c r="AB236" s="228">
        <v>0.12</v>
      </c>
      <c r="AC236" s="225"/>
      <c r="AD236" s="225"/>
      <c r="AE236" s="227">
        <v>70.0</v>
      </c>
      <c r="AF236" s="225" t="s">
        <v>349</v>
      </c>
      <c r="AG236" s="229" t="s">
        <v>730</v>
      </c>
    </row>
    <row r="237">
      <c r="A237" s="225" t="s">
        <v>261</v>
      </c>
      <c r="B237" s="225" t="s">
        <v>1350</v>
      </c>
      <c r="C237" s="225" t="s">
        <v>59</v>
      </c>
      <c r="D237" s="226">
        <v>19.0</v>
      </c>
      <c r="E237" s="225" t="s">
        <v>815</v>
      </c>
      <c r="F237" s="227">
        <v>3.0</v>
      </c>
      <c r="G237" s="227">
        <v>0.0</v>
      </c>
      <c r="H237" s="227">
        <v>0.0</v>
      </c>
      <c r="I237" s="227">
        <v>0.0</v>
      </c>
      <c r="J237" s="226">
        <v>0.0</v>
      </c>
      <c r="K237" s="226">
        <v>0.0</v>
      </c>
      <c r="L237" s="227">
        <v>0.0</v>
      </c>
      <c r="M237" s="226">
        <v>0.0</v>
      </c>
      <c r="N237" s="228"/>
      <c r="O237" s="227">
        <v>0.0</v>
      </c>
      <c r="P237" s="226">
        <v>0.0</v>
      </c>
      <c r="Q237" s="225" t="s">
        <v>1297</v>
      </c>
      <c r="R237" s="228">
        <v>0.252</v>
      </c>
      <c r="S237" s="225" t="s">
        <v>1483</v>
      </c>
      <c r="T237" s="227">
        <v>0.0</v>
      </c>
      <c r="U237" s="227">
        <v>3.0</v>
      </c>
      <c r="V237" s="226">
        <v>1.0</v>
      </c>
      <c r="W237" s="227">
        <v>1.0</v>
      </c>
      <c r="X237" s="226">
        <v>0.3333333333333333</v>
      </c>
      <c r="Y237" s="227"/>
      <c r="Z237" s="228"/>
      <c r="AA237" s="227"/>
      <c r="AB237" s="228">
        <v>0.0</v>
      </c>
      <c r="AC237" s="225"/>
      <c r="AD237" s="225" t="s">
        <v>77</v>
      </c>
      <c r="AE237" s="227">
        <v>50.0</v>
      </c>
      <c r="AF237" s="225" t="s">
        <v>1331</v>
      </c>
      <c r="AG237" s="229" t="s">
        <v>1354</v>
      </c>
    </row>
    <row r="238">
      <c r="A238" s="225" t="s">
        <v>261</v>
      </c>
      <c r="B238" s="225" t="s">
        <v>1363</v>
      </c>
      <c r="C238" s="225" t="s">
        <v>59</v>
      </c>
      <c r="D238" s="226">
        <v>18.0</v>
      </c>
      <c r="E238" s="225"/>
      <c r="F238" s="227"/>
      <c r="G238" s="227"/>
      <c r="H238" s="227"/>
      <c r="I238" s="227"/>
      <c r="J238" s="226"/>
      <c r="K238" s="226"/>
      <c r="L238" s="227"/>
      <c r="M238" s="226"/>
      <c r="N238" s="228"/>
      <c r="O238" s="227"/>
      <c r="P238" s="226"/>
      <c r="Q238" s="225"/>
      <c r="R238" s="228"/>
      <c r="S238" s="225"/>
      <c r="T238" s="227"/>
      <c r="U238" s="227"/>
      <c r="V238" s="226"/>
      <c r="W238" s="227"/>
      <c r="X238" s="226"/>
      <c r="Y238" s="227"/>
      <c r="Z238" s="228"/>
      <c r="AA238" s="227"/>
      <c r="AB238" s="228"/>
      <c r="AC238" s="225"/>
      <c r="AD238" s="225" t="s">
        <v>77</v>
      </c>
      <c r="AE238" s="227">
        <v>50.0</v>
      </c>
      <c r="AF238" s="225" t="s">
        <v>283</v>
      </c>
      <c r="AG238" s="229" t="s">
        <v>1365</v>
      </c>
    </row>
    <row r="239">
      <c r="A239" s="225" t="s">
        <v>170</v>
      </c>
      <c r="B239" s="225" t="s">
        <v>687</v>
      </c>
      <c r="C239" s="225" t="s">
        <v>165</v>
      </c>
      <c r="D239" s="226">
        <v>30.0</v>
      </c>
      <c r="E239" s="225" t="s">
        <v>13</v>
      </c>
      <c r="F239" s="227">
        <v>82.0</v>
      </c>
      <c r="G239" s="227">
        <v>23.0</v>
      </c>
      <c r="H239" s="227">
        <v>38.0</v>
      </c>
      <c r="I239" s="227">
        <v>61.0</v>
      </c>
      <c r="J239" s="226">
        <v>0.7439024390243902</v>
      </c>
      <c r="K239" s="226">
        <v>62.48780487804878</v>
      </c>
      <c r="L239" s="227">
        <v>133.0</v>
      </c>
      <c r="M239" s="226">
        <v>1.6219512195121952</v>
      </c>
      <c r="N239" s="228">
        <v>0.17293233082706766</v>
      </c>
      <c r="O239" s="227">
        <v>6.0</v>
      </c>
      <c r="P239" s="226">
        <v>0.07317073170731707</v>
      </c>
      <c r="Q239" s="225" t="s">
        <v>1416</v>
      </c>
      <c r="R239" s="228">
        <v>0.191</v>
      </c>
      <c r="S239" s="225" t="s">
        <v>1383</v>
      </c>
      <c r="T239" s="227">
        <v>14.0</v>
      </c>
      <c r="U239" s="227">
        <v>137.0</v>
      </c>
      <c r="V239" s="226">
        <v>1.670731707317073</v>
      </c>
      <c r="W239" s="227">
        <v>37.0</v>
      </c>
      <c r="X239" s="226">
        <v>0.45121951219512196</v>
      </c>
      <c r="Y239" s="227"/>
      <c r="Z239" s="228"/>
      <c r="AA239" s="227"/>
      <c r="AB239" s="228">
        <v>0.001</v>
      </c>
      <c r="AC239" s="225"/>
      <c r="AD239" s="225"/>
      <c r="AE239" s="227">
        <v>65.0</v>
      </c>
      <c r="AF239" s="225" t="s">
        <v>349</v>
      </c>
      <c r="AG239" s="229" t="s">
        <v>688</v>
      </c>
    </row>
    <row r="240">
      <c r="A240" s="225" t="s">
        <v>170</v>
      </c>
      <c r="B240" s="225" t="s">
        <v>175</v>
      </c>
      <c r="C240" s="225" t="s">
        <v>59</v>
      </c>
      <c r="D240" s="226">
        <v>30.0</v>
      </c>
      <c r="E240" s="225" t="s">
        <v>815</v>
      </c>
      <c r="F240" s="227">
        <v>74.0</v>
      </c>
      <c r="G240" s="227">
        <v>27.0</v>
      </c>
      <c r="H240" s="227">
        <v>63.0</v>
      </c>
      <c r="I240" s="227">
        <v>90.0</v>
      </c>
      <c r="J240" s="226">
        <v>1.2162162162162162</v>
      </c>
      <c r="K240" s="226">
        <v>102.16216216216216</v>
      </c>
      <c r="L240" s="227">
        <v>260.0</v>
      </c>
      <c r="M240" s="226">
        <v>3.5135135135135136</v>
      </c>
      <c r="N240" s="228">
        <v>0.10384615384615385</v>
      </c>
      <c r="O240" s="227">
        <v>28.0</v>
      </c>
      <c r="P240" s="226">
        <v>0.3783783783783784</v>
      </c>
      <c r="Q240" s="225" t="s">
        <v>1484</v>
      </c>
      <c r="R240" s="228">
        <v>0.8170000000000001</v>
      </c>
      <c r="S240" s="225" t="s">
        <v>1485</v>
      </c>
      <c r="T240" s="227">
        <v>18.0</v>
      </c>
      <c r="U240" s="227">
        <v>35.0</v>
      </c>
      <c r="V240" s="226">
        <v>0.47297297297297297</v>
      </c>
      <c r="W240" s="227">
        <v>40.0</v>
      </c>
      <c r="X240" s="226">
        <v>0.5405405405405406</v>
      </c>
      <c r="Y240" s="227"/>
      <c r="Z240" s="228"/>
      <c r="AA240" s="227"/>
      <c r="AB240" s="228">
        <v>0.32</v>
      </c>
      <c r="AC240" s="225" t="s">
        <v>77</v>
      </c>
      <c r="AD240" s="225"/>
      <c r="AE240" s="227">
        <v>110.0</v>
      </c>
      <c r="AF240" s="225" t="s">
        <v>167</v>
      </c>
      <c r="AG240" s="229" t="s">
        <v>180</v>
      </c>
    </row>
    <row r="241">
      <c r="A241" s="225" t="s">
        <v>170</v>
      </c>
      <c r="B241" s="225" t="s">
        <v>347</v>
      </c>
      <c r="C241" s="225" t="s">
        <v>123</v>
      </c>
      <c r="D241" s="226">
        <v>34.0</v>
      </c>
      <c r="E241" s="225" t="s">
        <v>815</v>
      </c>
      <c r="F241" s="227">
        <v>60.0</v>
      </c>
      <c r="G241" s="227">
        <v>28.0</v>
      </c>
      <c r="H241" s="227">
        <v>45.0</v>
      </c>
      <c r="I241" s="227">
        <v>73.0</v>
      </c>
      <c r="J241" s="226">
        <v>1.2166666666666666</v>
      </c>
      <c r="K241" s="226">
        <v>102.19999999999999</v>
      </c>
      <c r="L241" s="227">
        <v>130.0</v>
      </c>
      <c r="M241" s="226">
        <v>2.1666666666666665</v>
      </c>
      <c r="N241" s="228">
        <v>0.2153846153846154</v>
      </c>
      <c r="O241" s="227">
        <v>27.0</v>
      </c>
      <c r="P241" s="226">
        <v>0.45</v>
      </c>
      <c r="Q241" s="225" t="s">
        <v>1342</v>
      </c>
      <c r="R241" s="228">
        <v>0.77</v>
      </c>
      <c r="S241" s="225" t="s">
        <v>1486</v>
      </c>
      <c r="T241" s="227">
        <v>9.0</v>
      </c>
      <c r="U241" s="227">
        <v>31.0</v>
      </c>
      <c r="V241" s="226">
        <v>0.5166666666666667</v>
      </c>
      <c r="W241" s="227">
        <v>47.0</v>
      </c>
      <c r="X241" s="226">
        <v>0.7833333333333333</v>
      </c>
      <c r="Y241" s="227"/>
      <c r="Z241" s="228"/>
      <c r="AA241" s="227"/>
      <c r="AB241" s="228">
        <v>0.28600000000000003</v>
      </c>
      <c r="AC241" s="225" t="s">
        <v>77</v>
      </c>
      <c r="AD241" s="225" t="s">
        <v>77</v>
      </c>
      <c r="AE241" s="227">
        <v>85.0</v>
      </c>
      <c r="AF241" s="225" t="s">
        <v>51</v>
      </c>
      <c r="AG241" s="229" t="s">
        <v>352</v>
      </c>
    </row>
    <row r="242">
      <c r="A242" s="225" t="s">
        <v>170</v>
      </c>
      <c r="B242" s="225" t="s">
        <v>1161</v>
      </c>
      <c r="C242" s="225" t="s">
        <v>165</v>
      </c>
      <c r="D242" s="226">
        <v>28.0</v>
      </c>
      <c r="E242" s="225" t="s">
        <v>13</v>
      </c>
      <c r="F242" s="227">
        <v>58.0</v>
      </c>
      <c r="G242" s="227">
        <v>12.0</v>
      </c>
      <c r="H242" s="227">
        <v>10.0</v>
      </c>
      <c r="I242" s="227">
        <v>22.0</v>
      </c>
      <c r="J242" s="226">
        <v>0.3793103448275862</v>
      </c>
      <c r="K242" s="226">
        <v>31.86206896551724</v>
      </c>
      <c r="L242" s="227">
        <v>66.0</v>
      </c>
      <c r="M242" s="226">
        <v>1.1379310344827587</v>
      </c>
      <c r="N242" s="228">
        <v>0.18181818181818182</v>
      </c>
      <c r="O242" s="227">
        <v>3.0</v>
      </c>
      <c r="P242" s="226">
        <v>0.05172413793103448</v>
      </c>
      <c r="Q242" s="225" t="s">
        <v>1487</v>
      </c>
      <c r="R242" s="228">
        <v>0.13699999999999998</v>
      </c>
      <c r="S242" s="225" t="s">
        <v>1488</v>
      </c>
      <c r="T242" s="227">
        <v>41.0</v>
      </c>
      <c r="U242" s="227">
        <v>100.0</v>
      </c>
      <c r="V242" s="226">
        <v>1.7241379310344827</v>
      </c>
      <c r="W242" s="227">
        <v>19.0</v>
      </c>
      <c r="X242" s="226">
        <v>0.3275862068965517</v>
      </c>
      <c r="Y242" s="227"/>
      <c r="Z242" s="228"/>
      <c r="AA242" s="227"/>
      <c r="AB242" s="228">
        <v>0.253</v>
      </c>
      <c r="AC242" s="225" t="s">
        <v>77</v>
      </c>
      <c r="AD242" s="225" t="s">
        <v>77</v>
      </c>
      <c r="AE242" s="227">
        <v>45.0</v>
      </c>
      <c r="AF242" s="225" t="s">
        <v>436</v>
      </c>
      <c r="AG242" s="229" t="s">
        <v>1163</v>
      </c>
    </row>
    <row r="243">
      <c r="A243" s="225" t="s">
        <v>170</v>
      </c>
      <c r="B243" s="225" t="s">
        <v>210</v>
      </c>
      <c r="C243" s="225" t="s">
        <v>212</v>
      </c>
      <c r="D243" s="226">
        <v>29.0</v>
      </c>
      <c r="E243" s="225" t="s">
        <v>815</v>
      </c>
      <c r="F243" s="227">
        <v>81.0</v>
      </c>
      <c r="G243" s="227">
        <v>24.0</v>
      </c>
      <c r="H243" s="227">
        <v>56.0</v>
      </c>
      <c r="I243" s="227">
        <v>80.0</v>
      </c>
      <c r="J243" s="226">
        <v>0.9876543209876543</v>
      </c>
      <c r="K243" s="226">
        <v>82.96296296296296</v>
      </c>
      <c r="L243" s="227">
        <v>165.0</v>
      </c>
      <c r="M243" s="226">
        <v>2.037037037037037</v>
      </c>
      <c r="N243" s="228">
        <v>0.14545454545454545</v>
      </c>
      <c r="O243" s="227">
        <v>24.0</v>
      </c>
      <c r="P243" s="226">
        <v>0.2962962962962963</v>
      </c>
      <c r="Q243" s="225" t="s">
        <v>1138</v>
      </c>
      <c r="R243" s="228">
        <v>0.799</v>
      </c>
      <c r="S243" s="225" t="s">
        <v>1395</v>
      </c>
      <c r="T243" s="227">
        <v>24.0</v>
      </c>
      <c r="U243" s="227">
        <v>24.0</v>
      </c>
      <c r="V243" s="226">
        <v>0.2962962962962963</v>
      </c>
      <c r="W243" s="227">
        <v>46.0</v>
      </c>
      <c r="X243" s="226">
        <v>0.5679012345679012</v>
      </c>
      <c r="Y243" s="227"/>
      <c r="Z243" s="228"/>
      <c r="AA243" s="227"/>
      <c r="AB243" s="228">
        <v>0.301</v>
      </c>
      <c r="AC243" s="225"/>
      <c r="AD243" s="225"/>
      <c r="AE243" s="227">
        <v>110.0</v>
      </c>
      <c r="AF243" s="225" t="s">
        <v>1107</v>
      </c>
      <c r="AG243" s="229" t="s">
        <v>214</v>
      </c>
    </row>
    <row r="244">
      <c r="A244" s="225" t="s">
        <v>170</v>
      </c>
      <c r="B244" s="225" t="s">
        <v>747</v>
      </c>
      <c r="C244" s="225" t="s">
        <v>59</v>
      </c>
      <c r="D244" s="226">
        <v>32.0</v>
      </c>
      <c r="E244" s="225" t="s">
        <v>13</v>
      </c>
      <c r="F244" s="227">
        <v>82.0</v>
      </c>
      <c r="G244" s="227">
        <v>24.0</v>
      </c>
      <c r="H244" s="227">
        <v>34.0</v>
      </c>
      <c r="I244" s="227">
        <v>58.0</v>
      </c>
      <c r="J244" s="226">
        <v>0.7073170731707317</v>
      </c>
      <c r="K244" s="226">
        <v>59.41463414634146</v>
      </c>
      <c r="L244" s="227">
        <v>202.0</v>
      </c>
      <c r="M244" s="226">
        <v>2.4634146341463414</v>
      </c>
      <c r="N244" s="228">
        <v>0.1188118811881188</v>
      </c>
      <c r="O244" s="227">
        <v>25.0</v>
      </c>
      <c r="P244" s="226">
        <v>0.3048780487804878</v>
      </c>
      <c r="Q244" s="225" t="s">
        <v>810</v>
      </c>
      <c r="R244" s="228">
        <v>0.773</v>
      </c>
      <c r="S244" s="225" t="s">
        <v>1368</v>
      </c>
      <c r="T244" s="227">
        <v>39.0</v>
      </c>
      <c r="U244" s="227">
        <v>114.0</v>
      </c>
      <c r="V244" s="226">
        <v>1.3902439024390243</v>
      </c>
      <c r="W244" s="227">
        <v>45.0</v>
      </c>
      <c r="X244" s="226">
        <v>0.5487804878048781</v>
      </c>
      <c r="Y244" s="227"/>
      <c r="Z244" s="228"/>
      <c r="AA244" s="227"/>
      <c r="AB244" s="228">
        <v>0.033</v>
      </c>
      <c r="AC244" s="225" t="s">
        <v>77</v>
      </c>
      <c r="AD244" s="225" t="s">
        <v>77</v>
      </c>
      <c r="AE244" s="227">
        <v>65.0</v>
      </c>
      <c r="AF244" s="225" t="s">
        <v>1489</v>
      </c>
      <c r="AG244" s="229" t="s">
        <v>1490</v>
      </c>
    </row>
    <row r="245">
      <c r="A245" s="225" t="s">
        <v>170</v>
      </c>
      <c r="B245" s="225" t="s">
        <v>1198</v>
      </c>
      <c r="C245" s="225" t="s">
        <v>165</v>
      </c>
      <c r="D245" s="226">
        <v>20.0</v>
      </c>
      <c r="E245" s="225"/>
      <c r="F245" s="227"/>
      <c r="G245" s="227"/>
      <c r="H245" s="227"/>
      <c r="I245" s="227"/>
      <c r="J245" s="226"/>
      <c r="K245" s="226"/>
      <c r="L245" s="227"/>
      <c r="M245" s="226"/>
      <c r="N245" s="228"/>
      <c r="O245" s="227"/>
      <c r="P245" s="226"/>
      <c r="Q245" s="225"/>
      <c r="R245" s="228"/>
      <c r="S245" s="225"/>
      <c r="T245" s="227"/>
      <c r="U245" s="227"/>
      <c r="V245" s="226"/>
      <c r="W245" s="227"/>
      <c r="X245" s="226"/>
      <c r="Y245" s="227"/>
      <c r="Z245" s="228"/>
      <c r="AA245" s="227"/>
      <c r="AB245" s="228"/>
      <c r="AC245" s="225"/>
      <c r="AD245" s="225" t="s">
        <v>77</v>
      </c>
      <c r="AE245" s="227">
        <v>60.0</v>
      </c>
      <c r="AF245" s="225">
        <v>974167.0</v>
      </c>
      <c r="AG245" s="229" t="s">
        <v>1491</v>
      </c>
    </row>
    <row r="246">
      <c r="A246" s="225" t="s">
        <v>170</v>
      </c>
      <c r="B246" s="225" t="s">
        <v>1011</v>
      </c>
      <c r="C246" s="225" t="s">
        <v>59</v>
      </c>
      <c r="D246" s="226">
        <v>33.0</v>
      </c>
      <c r="E246" s="225" t="s">
        <v>13</v>
      </c>
      <c r="F246" s="227">
        <v>14.0</v>
      </c>
      <c r="G246" s="227">
        <v>4.0</v>
      </c>
      <c r="H246" s="227">
        <v>3.0</v>
      </c>
      <c r="I246" s="227">
        <v>7.0</v>
      </c>
      <c r="J246" s="226">
        <v>0.5</v>
      </c>
      <c r="K246" s="226">
        <v>42.0</v>
      </c>
      <c r="L246" s="227">
        <v>30.0</v>
      </c>
      <c r="M246" s="226">
        <v>2.142857142857143</v>
      </c>
      <c r="N246" s="228">
        <v>0.13333333333333333</v>
      </c>
      <c r="O246" s="227">
        <v>1.0</v>
      </c>
      <c r="P246" s="226">
        <v>0.07142857142857142</v>
      </c>
      <c r="Q246" s="225" t="s">
        <v>1364</v>
      </c>
      <c r="R246" s="228">
        <v>0.193</v>
      </c>
      <c r="S246" s="225" t="s">
        <v>1492</v>
      </c>
      <c r="T246" s="227">
        <v>4.0</v>
      </c>
      <c r="U246" s="227">
        <v>3.0</v>
      </c>
      <c r="V246" s="226">
        <v>0.21428571428571427</v>
      </c>
      <c r="W246" s="227">
        <v>13.0</v>
      </c>
      <c r="X246" s="226">
        <v>0.9285714285714286</v>
      </c>
      <c r="Y246" s="227"/>
      <c r="Z246" s="228"/>
      <c r="AA246" s="227"/>
      <c r="AB246" s="228">
        <v>0.327</v>
      </c>
      <c r="AC246" s="225" t="s">
        <v>77</v>
      </c>
      <c r="AD246" s="225"/>
      <c r="AE246" s="227">
        <v>55.0</v>
      </c>
      <c r="AF246" s="225" t="s">
        <v>466</v>
      </c>
      <c r="AG246" s="229" t="s">
        <v>1493</v>
      </c>
    </row>
    <row r="247">
      <c r="A247" s="225" t="s">
        <v>235</v>
      </c>
      <c r="B247" s="225" t="s">
        <v>757</v>
      </c>
      <c r="C247" s="225" t="s">
        <v>165</v>
      </c>
      <c r="D247" s="226">
        <v>41.0</v>
      </c>
      <c r="E247" s="225" t="s">
        <v>815</v>
      </c>
      <c r="F247" s="227">
        <v>82.0</v>
      </c>
      <c r="G247" s="227">
        <v>32.0</v>
      </c>
      <c r="H247" s="227">
        <v>32.0</v>
      </c>
      <c r="I247" s="227">
        <v>64.0</v>
      </c>
      <c r="J247" s="226">
        <v>0.7804878048780488</v>
      </c>
      <c r="K247" s="226">
        <v>65.5609756097561</v>
      </c>
      <c r="L247" s="227">
        <v>244.0</v>
      </c>
      <c r="M247" s="226">
        <v>2.975609756097561</v>
      </c>
      <c r="N247" s="228">
        <v>0.13114754098360656</v>
      </c>
      <c r="O247" s="227">
        <v>19.0</v>
      </c>
      <c r="P247" s="226">
        <v>0.23170731707317074</v>
      </c>
      <c r="Q247" s="225" t="s">
        <v>1494</v>
      </c>
      <c r="R247" s="228">
        <v>0.9159999999999999</v>
      </c>
      <c r="S247" s="225" t="s">
        <v>826</v>
      </c>
      <c r="T247" s="227">
        <v>26.0</v>
      </c>
      <c r="U247" s="227">
        <v>134.0</v>
      </c>
      <c r="V247" s="226">
        <v>1.6341463414634145</v>
      </c>
      <c r="W247" s="227">
        <v>16.0</v>
      </c>
      <c r="X247" s="226">
        <v>0.1951219512195122</v>
      </c>
      <c r="Y247" s="227"/>
      <c r="Z247" s="228"/>
      <c r="AA247" s="227"/>
      <c r="AB247" s="228">
        <v>0.005</v>
      </c>
      <c r="AC247" s="225"/>
      <c r="AD247" s="225"/>
      <c r="AE247" s="227">
        <v>65.0</v>
      </c>
      <c r="AF247" s="225" t="s">
        <v>51</v>
      </c>
      <c r="AG247" s="229" t="s">
        <v>758</v>
      </c>
    </row>
    <row r="248">
      <c r="A248" s="225" t="s">
        <v>235</v>
      </c>
      <c r="B248" s="225" t="s">
        <v>559</v>
      </c>
      <c r="C248" s="225" t="s">
        <v>59</v>
      </c>
      <c r="D248" s="226">
        <v>29.0</v>
      </c>
      <c r="E248" s="225" t="s">
        <v>13</v>
      </c>
      <c r="F248" s="227">
        <v>80.0</v>
      </c>
      <c r="G248" s="227">
        <v>19.0</v>
      </c>
      <c r="H248" s="227">
        <v>39.0</v>
      </c>
      <c r="I248" s="227">
        <v>58.0</v>
      </c>
      <c r="J248" s="226">
        <v>0.725</v>
      </c>
      <c r="K248" s="226">
        <v>60.9</v>
      </c>
      <c r="L248" s="227">
        <v>143.0</v>
      </c>
      <c r="M248" s="226">
        <v>1.7875</v>
      </c>
      <c r="N248" s="228">
        <v>0.13286713286713286</v>
      </c>
      <c r="O248" s="227">
        <v>21.0</v>
      </c>
      <c r="P248" s="226">
        <v>0.2625</v>
      </c>
      <c r="Q248" s="225" t="s">
        <v>1495</v>
      </c>
      <c r="R248" s="228">
        <v>0.642</v>
      </c>
      <c r="S248" s="225" t="s">
        <v>1496</v>
      </c>
      <c r="T248" s="227">
        <v>46.0</v>
      </c>
      <c r="U248" s="227">
        <v>11.0</v>
      </c>
      <c r="V248" s="226">
        <v>0.1375</v>
      </c>
      <c r="W248" s="227">
        <v>53.0</v>
      </c>
      <c r="X248" s="226">
        <v>0.6625</v>
      </c>
      <c r="Y248" s="227"/>
      <c r="Z248" s="228"/>
      <c r="AA248" s="227"/>
      <c r="AB248" s="228">
        <v>0.012</v>
      </c>
      <c r="AC248" s="225"/>
      <c r="AD248" s="225"/>
      <c r="AE248" s="227">
        <v>80.0</v>
      </c>
      <c r="AF248" s="225" t="s">
        <v>349</v>
      </c>
      <c r="AG248" s="229" t="s">
        <v>561</v>
      </c>
    </row>
    <row r="249">
      <c r="A249" s="225" t="s">
        <v>235</v>
      </c>
      <c r="B249" s="225" t="s">
        <v>563</v>
      </c>
      <c r="C249" s="225" t="s">
        <v>123</v>
      </c>
      <c r="D249" s="226">
        <v>30.0</v>
      </c>
      <c r="E249" s="225" t="s">
        <v>815</v>
      </c>
      <c r="F249" s="227">
        <v>79.0</v>
      </c>
      <c r="G249" s="227">
        <v>33.0</v>
      </c>
      <c r="H249" s="227">
        <v>33.0</v>
      </c>
      <c r="I249" s="227">
        <v>66.0</v>
      </c>
      <c r="J249" s="226">
        <v>0.8354430379746836</v>
      </c>
      <c r="K249" s="226">
        <v>70.17721518987342</v>
      </c>
      <c r="L249" s="227">
        <v>195.0</v>
      </c>
      <c r="M249" s="226">
        <v>2.4683544303797467</v>
      </c>
      <c r="N249" s="228">
        <v>0.16923076923076924</v>
      </c>
      <c r="O249" s="227">
        <v>9.0</v>
      </c>
      <c r="P249" s="226">
        <v>0.11392405063291139</v>
      </c>
      <c r="Q249" s="225" t="s">
        <v>1374</v>
      </c>
      <c r="R249" s="228">
        <v>0.331</v>
      </c>
      <c r="S249" s="225" t="s">
        <v>1497</v>
      </c>
      <c r="T249" s="227">
        <v>57.0</v>
      </c>
      <c r="U249" s="227">
        <v>82.0</v>
      </c>
      <c r="V249" s="226">
        <v>1.0379746835443038</v>
      </c>
      <c r="W249" s="227">
        <v>90.0</v>
      </c>
      <c r="X249" s="226">
        <v>1.139240506329114</v>
      </c>
      <c r="Y249" s="227"/>
      <c r="Z249" s="228"/>
      <c r="AA249" s="227"/>
      <c r="AB249" s="228">
        <v>0.512</v>
      </c>
      <c r="AC249" s="225"/>
      <c r="AD249" s="225"/>
      <c r="AE249" s="227">
        <v>80.0</v>
      </c>
      <c r="AF249" s="225" t="s">
        <v>963</v>
      </c>
      <c r="AG249" s="229" t="s">
        <v>567</v>
      </c>
    </row>
    <row r="250">
      <c r="A250" s="225" t="s">
        <v>235</v>
      </c>
      <c r="B250" s="225" t="s">
        <v>638</v>
      </c>
      <c r="C250" s="225" t="s">
        <v>59</v>
      </c>
      <c r="D250" s="226">
        <v>28.0</v>
      </c>
      <c r="E250" s="225" t="s">
        <v>13</v>
      </c>
      <c r="F250" s="227">
        <v>29.0</v>
      </c>
      <c r="G250" s="227">
        <v>5.0</v>
      </c>
      <c r="H250" s="227">
        <v>14.0</v>
      </c>
      <c r="I250" s="227">
        <v>19.0</v>
      </c>
      <c r="J250" s="226">
        <v>0.6551724137931034</v>
      </c>
      <c r="K250" s="226">
        <v>55.03448275862069</v>
      </c>
      <c r="L250" s="227">
        <v>42.0</v>
      </c>
      <c r="M250" s="226">
        <v>1.4482758620689655</v>
      </c>
      <c r="N250" s="228">
        <v>0.11904761904761904</v>
      </c>
      <c r="O250" s="227">
        <v>6.0</v>
      </c>
      <c r="P250" s="226">
        <v>0.20689655172413793</v>
      </c>
      <c r="Q250" s="225" t="s">
        <v>1424</v>
      </c>
      <c r="R250" s="228">
        <v>0.46399999999999997</v>
      </c>
      <c r="S250" s="225" t="s">
        <v>1498</v>
      </c>
      <c r="T250" s="227">
        <v>19.0</v>
      </c>
      <c r="U250" s="227">
        <v>23.0</v>
      </c>
      <c r="V250" s="226">
        <v>0.7931034482758621</v>
      </c>
      <c r="W250" s="227">
        <v>13.0</v>
      </c>
      <c r="X250" s="226">
        <v>0.4482758620689655</v>
      </c>
      <c r="Y250" s="227"/>
      <c r="Z250" s="228"/>
      <c r="AA250" s="227"/>
      <c r="AB250" s="228">
        <v>0.039</v>
      </c>
      <c r="AC250" s="225"/>
      <c r="AD250" s="225"/>
      <c r="AE250" s="227">
        <v>75.0</v>
      </c>
      <c r="AF250" s="225" t="s">
        <v>79</v>
      </c>
      <c r="AG250" s="229" t="s">
        <v>640</v>
      </c>
    </row>
    <row r="251">
      <c r="A251" s="225" t="s">
        <v>235</v>
      </c>
      <c r="B251" s="225" t="s">
        <v>761</v>
      </c>
      <c r="C251" s="225" t="s">
        <v>123</v>
      </c>
      <c r="D251" s="226">
        <v>28.0</v>
      </c>
      <c r="E251" s="225" t="s">
        <v>815</v>
      </c>
      <c r="F251" s="227">
        <v>72.0</v>
      </c>
      <c r="G251" s="227">
        <v>18.0</v>
      </c>
      <c r="H251" s="227">
        <v>28.0</v>
      </c>
      <c r="I251" s="227">
        <v>46.0</v>
      </c>
      <c r="J251" s="226">
        <v>0.6388888888888888</v>
      </c>
      <c r="K251" s="226">
        <v>53.666666666666664</v>
      </c>
      <c r="L251" s="227">
        <v>173.0</v>
      </c>
      <c r="M251" s="226">
        <v>2.4027777777777777</v>
      </c>
      <c r="N251" s="228">
        <v>0.10404624277456648</v>
      </c>
      <c r="O251" s="227">
        <v>14.0</v>
      </c>
      <c r="P251" s="226">
        <v>0.19444444444444445</v>
      </c>
      <c r="Q251" s="225" t="s">
        <v>954</v>
      </c>
      <c r="R251" s="228">
        <v>0.48100000000000004</v>
      </c>
      <c r="S251" s="225" t="s">
        <v>1499</v>
      </c>
      <c r="T251" s="227">
        <v>8.0</v>
      </c>
      <c r="U251" s="227">
        <v>14.0</v>
      </c>
      <c r="V251" s="226">
        <v>0.19444444444444445</v>
      </c>
      <c r="W251" s="227">
        <v>28.0</v>
      </c>
      <c r="X251" s="226">
        <v>0.3888888888888889</v>
      </c>
      <c r="Y251" s="227"/>
      <c r="Z251" s="228"/>
      <c r="AA251" s="227"/>
      <c r="AB251" s="228">
        <v>0.002</v>
      </c>
      <c r="AC251" s="225"/>
      <c r="AD251" s="225" t="s">
        <v>77</v>
      </c>
      <c r="AE251" s="227">
        <v>70.0</v>
      </c>
      <c r="AF251" s="225" t="s">
        <v>1439</v>
      </c>
      <c r="AG251" s="229" t="s">
        <v>762</v>
      </c>
    </row>
    <row r="252">
      <c r="A252" s="225" t="s">
        <v>235</v>
      </c>
      <c r="B252" s="225" t="s">
        <v>714</v>
      </c>
      <c r="C252" s="225" t="s">
        <v>165</v>
      </c>
      <c r="D252" s="226">
        <v>25.0</v>
      </c>
      <c r="E252" s="225" t="s">
        <v>13</v>
      </c>
      <c r="F252" s="227">
        <v>76.0</v>
      </c>
      <c r="G252" s="227">
        <v>25.0</v>
      </c>
      <c r="H252" s="227">
        <v>27.0</v>
      </c>
      <c r="I252" s="227">
        <v>52.0</v>
      </c>
      <c r="J252" s="226">
        <v>0.6842105263157895</v>
      </c>
      <c r="K252" s="226">
        <v>57.473684210526315</v>
      </c>
      <c r="L252" s="227">
        <v>159.0</v>
      </c>
      <c r="M252" s="226">
        <v>2.0921052631578947</v>
      </c>
      <c r="N252" s="228">
        <v>0.15723270440251572</v>
      </c>
      <c r="O252" s="227">
        <v>1.0</v>
      </c>
      <c r="P252" s="226">
        <v>0.013157894736842105</v>
      </c>
      <c r="Q252" s="225" t="s">
        <v>1422</v>
      </c>
      <c r="R252" s="228">
        <v>0.095</v>
      </c>
      <c r="S252" s="225" t="s">
        <v>1279</v>
      </c>
      <c r="T252" s="227">
        <v>20.0</v>
      </c>
      <c r="U252" s="227">
        <v>33.0</v>
      </c>
      <c r="V252" s="226">
        <v>0.4342105263157895</v>
      </c>
      <c r="W252" s="227">
        <v>42.0</v>
      </c>
      <c r="X252" s="226">
        <v>0.5526315789473685</v>
      </c>
      <c r="Y252" s="227"/>
      <c r="Z252" s="228"/>
      <c r="AA252" s="227"/>
      <c r="AB252" s="228">
        <v>0.37200000000000005</v>
      </c>
      <c r="AC252" s="225"/>
      <c r="AD252" s="225"/>
      <c r="AE252" s="227">
        <v>65.0</v>
      </c>
      <c r="AF252" s="225" t="s">
        <v>902</v>
      </c>
      <c r="AG252" s="229" t="s">
        <v>715</v>
      </c>
    </row>
    <row r="253">
      <c r="A253" s="225" t="s">
        <v>235</v>
      </c>
      <c r="B253" s="225" t="s">
        <v>749</v>
      </c>
      <c r="C253" s="225" t="s">
        <v>123</v>
      </c>
      <c r="D253" s="226">
        <v>32.0</v>
      </c>
      <c r="E253" s="225" t="s">
        <v>815</v>
      </c>
      <c r="F253" s="227">
        <v>72.0</v>
      </c>
      <c r="G253" s="227">
        <v>30.0</v>
      </c>
      <c r="H253" s="227">
        <v>32.0</v>
      </c>
      <c r="I253" s="227">
        <v>62.0</v>
      </c>
      <c r="J253" s="226">
        <v>0.8611111111111112</v>
      </c>
      <c r="K253" s="226">
        <v>72.33333333333334</v>
      </c>
      <c r="L253" s="227">
        <v>153.0</v>
      </c>
      <c r="M253" s="226">
        <v>2.125</v>
      </c>
      <c r="N253" s="228">
        <v>0.19607843137254902</v>
      </c>
      <c r="O253" s="227">
        <v>12.0</v>
      </c>
      <c r="P253" s="226">
        <v>0.16666666666666666</v>
      </c>
      <c r="Q253" s="225" t="s">
        <v>1411</v>
      </c>
      <c r="R253" s="228">
        <v>0.569</v>
      </c>
      <c r="S253" s="225" t="s">
        <v>1500</v>
      </c>
      <c r="T253" s="227">
        <v>117.0</v>
      </c>
      <c r="U253" s="227">
        <v>179.0</v>
      </c>
      <c r="V253" s="226">
        <v>2.486111111111111</v>
      </c>
      <c r="W253" s="227">
        <v>53.0</v>
      </c>
      <c r="X253" s="226">
        <v>0.7361111111111112</v>
      </c>
      <c r="Y253" s="227"/>
      <c r="Z253" s="228"/>
      <c r="AA253" s="227"/>
      <c r="AB253" s="228">
        <v>0.42</v>
      </c>
      <c r="AC253" s="225"/>
      <c r="AD253" s="225"/>
      <c r="AE253" s="227">
        <v>70.0</v>
      </c>
      <c r="AF253" s="225" t="s">
        <v>288</v>
      </c>
      <c r="AG253" s="229" t="s">
        <v>750</v>
      </c>
    </row>
    <row r="254">
      <c r="A254" s="225" t="s">
        <v>235</v>
      </c>
      <c r="B254" s="225" t="s">
        <v>1060</v>
      </c>
      <c r="C254" s="225" t="s">
        <v>59</v>
      </c>
      <c r="D254" s="226">
        <v>33.0</v>
      </c>
      <c r="E254" s="225" t="s">
        <v>13</v>
      </c>
      <c r="F254" s="227">
        <v>67.0</v>
      </c>
      <c r="G254" s="227">
        <v>13.0</v>
      </c>
      <c r="H254" s="227">
        <v>25.0</v>
      </c>
      <c r="I254" s="227">
        <v>38.0</v>
      </c>
      <c r="J254" s="226">
        <v>0.5671641791044776</v>
      </c>
      <c r="K254" s="226">
        <v>47.64179104477612</v>
      </c>
      <c r="L254" s="227">
        <v>132.0</v>
      </c>
      <c r="M254" s="226">
        <v>1.9701492537313432</v>
      </c>
      <c r="N254" s="228">
        <v>0.09848484848484848</v>
      </c>
      <c r="O254" s="227">
        <v>3.0</v>
      </c>
      <c r="P254" s="226">
        <v>0.04477611940298507</v>
      </c>
      <c r="Q254" s="225" t="s">
        <v>1501</v>
      </c>
      <c r="R254" s="228">
        <v>0.19699999999999998</v>
      </c>
      <c r="S254" s="225" t="s">
        <v>1502</v>
      </c>
      <c r="T254" s="227">
        <v>44.0</v>
      </c>
      <c r="U254" s="227">
        <v>147.0</v>
      </c>
      <c r="V254" s="226">
        <v>2.1940298507462686</v>
      </c>
      <c r="W254" s="227">
        <v>66.0</v>
      </c>
      <c r="X254" s="226">
        <v>0.9850746268656716</v>
      </c>
      <c r="Y254" s="227"/>
      <c r="Z254" s="228"/>
      <c r="AA254" s="227"/>
      <c r="AB254" s="228">
        <v>0.32</v>
      </c>
      <c r="AC254" s="225" t="s">
        <v>77</v>
      </c>
      <c r="AD254" s="225" t="s">
        <v>77</v>
      </c>
      <c r="AE254" s="227">
        <v>50.0</v>
      </c>
      <c r="AF254" s="225" t="s">
        <v>205</v>
      </c>
      <c r="AG254" s="229" t="s">
        <v>1061</v>
      </c>
    </row>
    <row r="255">
      <c r="A255" s="225" t="s">
        <v>235</v>
      </c>
      <c r="B255" s="225" t="s">
        <v>1143</v>
      </c>
      <c r="C255" s="225" t="s">
        <v>123</v>
      </c>
      <c r="D255" s="226">
        <v>21.0</v>
      </c>
      <c r="E255" s="225" t="s">
        <v>815</v>
      </c>
      <c r="F255" s="227">
        <v>75.0</v>
      </c>
      <c r="G255" s="227">
        <v>20.0</v>
      </c>
      <c r="H255" s="227">
        <v>25.0</v>
      </c>
      <c r="I255" s="227">
        <v>45.0</v>
      </c>
      <c r="J255" s="226">
        <v>0.6</v>
      </c>
      <c r="K255" s="226">
        <v>50.4</v>
      </c>
      <c r="L255" s="227">
        <v>153.0</v>
      </c>
      <c r="M255" s="226">
        <v>2.04</v>
      </c>
      <c r="N255" s="228">
        <v>0.13071895424836602</v>
      </c>
      <c r="O255" s="227">
        <v>14.0</v>
      </c>
      <c r="P255" s="226">
        <v>0.18666666666666668</v>
      </c>
      <c r="Q255" s="225" t="s">
        <v>825</v>
      </c>
      <c r="R255" s="228">
        <v>0.47700000000000004</v>
      </c>
      <c r="S255" s="225" t="s">
        <v>1503</v>
      </c>
      <c r="T255" s="227">
        <v>47.0</v>
      </c>
      <c r="U255" s="227">
        <v>124.0</v>
      </c>
      <c r="V255" s="226">
        <v>1.6533333333333333</v>
      </c>
      <c r="W255" s="227">
        <v>25.0</v>
      </c>
      <c r="X255" s="226">
        <v>0.3333333333333333</v>
      </c>
      <c r="Y255" s="227"/>
      <c r="Z255" s="228"/>
      <c r="AA255" s="227"/>
      <c r="AB255" s="228">
        <v>0.001</v>
      </c>
      <c r="AC255" s="225"/>
      <c r="AD255" s="225" t="s">
        <v>77</v>
      </c>
      <c r="AE255" s="227">
        <v>60.0</v>
      </c>
      <c r="AF255" s="225" t="s">
        <v>1504</v>
      </c>
      <c r="AG255" s="229" t="s">
        <v>1146</v>
      </c>
    </row>
    <row r="256">
      <c r="A256" s="225" t="s">
        <v>235</v>
      </c>
      <c r="B256" s="225" t="s">
        <v>1278</v>
      </c>
      <c r="C256" s="225" t="s">
        <v>165</v>
      </c>
      <c r="D256" s="226">
        <v>21.0</v>
      </c>
      <c r="E256" s="225"/>
      <c r="F256" s="227"/>
      <c r="G256" s="227"/>
      <c r="H256" s="227"/>
      <c r="I256" s="227"/>
      <c r="J256" s="226"/>
      <c r="K256" s="226"/>
      <c r="L256" s="227"/>
      <c r="M256" s="226"/>
      <c r="N256" s="228"/>
      <c r="O256" s="227"/>
      <c r="P256" s="226"/>
      <c r="Q256" s="225"/>
      <c r="R256" s="228"/>
      <c r="S256" s="225"/>
      <c r="T256" s="227"/>
      <c r="U256" s="227"/>
      <c r="V256" s="226"/>
      <c r="W256" s="227"/>
      <c r="X256" s="226"/>
      <c r="Y256" s="227"/>
      <c r="Z256" s="228"/>
      <c r="AA256" s="227"/>
      <c r="AB256" s="228"/>
      <c r="AC256" s="225"/>
      <c r="AD256" s="225" t="s">
        <v>77</v>
      </c>
      <c r="AE256" s="227">
        <v>40.0</v>
      </c>
      <c r="AF256" s="225">
        <v>889166.0</v>
      </c>
      <c r="AG256" s="229" t="s">
        <v>1505</v>
      </c>
    </row>
    <row r="257">
      <c r="A257" s="225" t="s">
        <v>235</v>
      </c>
      <c r="B257" s="225" t="s">
        <v>1081</v>
      </c>
      <c r="C257" s="225" t="s">
        <v>59</v>
      </c>
      <c r="D257" s="226">
        <v>20.0</v>
      </c>
      <c r="E257" s="225" t="s">
        <v>13</v>
      </c>
      <c r="F257" s="227">
        <v>4.0</v>
      </c>
      <c r="G257" s="227">
        <v>1.0</v>
      </c>
      <c r="H257" s="227">
        <v>3.0</v>
      </c>
      <c r="I257" s="227">
        <v>4.0</v>
      </c>
      <c r="J257" s="226">
        <v>1.0</v>
      </c>
      <c r="K257" s="226">
        <v>84.0</v>
      </c>
      <c r="L257" s="227">
        <v>7.0</v>
      </c>
      <c r="M257" s="226">
        <v>1.75</v>
      </c>
      <c r="N257" s="228">
        <v>0.14285714285714285</v>
      </c>
      <c r="O257" s="227">
        <v>1.0</v>
      </c>
      <c r="P257" s="226">
        <v>0.25</v>
      </c>
      <c r="Q257" s="225" t="s">
        <v>1506</v>
      </c>
      <c r="R257" s="228">
        <v>0.672</v>
      </c>
      <c r="S257" s="225" t="s">
        <v>1507</v>
      </c>
      <c r="T257" s="227">
        <v>2.0</v>
      </c>
      <c r="U257" s="227">
        <v>0.0</v>
      </c>
      <c r="V257" s="226">
        <v>0.0</v>
      </c>
      <c r="W257" s="227">
        <v>2.0</v>
      </c>
      <c r="X257" s="226">
        <v>0.5</v>
      </c>
      <c r="Y257" s="227"/>
      <c r="Z257" s="228"/>
      <c r="AA257" s="227"/>
      <c r="AB257" s="228">
        <v>0.0</v>
      </c>
      <c r="AC257" s="225"/>
      <c r="AD257" s="225"/>
      <c r="AE257" s="227">
        <v>50.0</v>
      </c>
      <c r="AF257" s="225" t="s">
        <v>984</v>
      </c>
      <c r="AG257" s="229" t="s">
        <v>1083</v>
      </c>
    </row>
    <row r="258">
      <c r="A258" s="225" t="s">
        <v>71</v>
      </c>
      <c r="B258" s="225" t="s">
        <v>186</v>
      </c>
      <c r="C258" s="225" t="s">
        <v>165</v>
      </c>
      <c r="D258" s="226">
        <v>29.0</v>
      </c>
      <c r="E258" s="225" t="s">
        <v>13</v>
      </c>
      <c r="F258" s="227">
        <v>82.0</v>
      </c>
      <c r="G258" s="227">
        <v>39.0</v>
      </c>
      <c r="H258" s="227">
        <v>53.0</v>
      </c>
      <c r="I258" s="227">
        <v>92.0</v>
      </c>
      <c r="J258" s="226">
        <v>1.1219512195121952</v>
      </c>
      <c r="K258" s="226">
        <v>94.2439024390244</v>
      </c>
      <c r="L258" s="227">
        <v>274.0</v>
      </c>
      <c r="M258" s="226">
        <v>3.341463414634146</v>
      </c>
      <c r="N258" s="228">
        <v>0.14233576642335766</v>
      </c>
      <c r="O258" s="227">
        <v>19.0</v>
      </c>
      <c r="P258" s="226">
        <v>0.23170731707317074</v>
      </c>
      <c r="Q258" s="225" t="s">
        <v>1403</v>
      </c>
      <c r="R258" s="228">
        <v>0.657</v>
      </c>
      <c r="S258" s="225" t="s">
        <v>1073</v>
      </c>
      <c r="T258" s="227">
        <v>16.0</v>
      </c>
      <c r="U258" s="227">
        <v>36.0</v>
      </c>
      <c r="V258" s="226">
        <v>0.43902439024390244</v>
      </c>
      <c r="W258" s="227">
        <v>19.0</v>
      </c>
      <c r="X258" s="226">
        <v>0.23170731707317074</v>
      </c>
      <c r="Y258" s="227"/>
      <c r="Z258" s="228"/>
      <c r="AA258" s="227"/>
      <c r="AB258" s="228">
        <v>0.233</v>
      </c>
      <c r="AC258" s="225"/>
      <c r="AD258" s="225"/>
      <c r="AE258" s="227">
        <v>110.0</v>
      </c>
      <c r="AF258" s="225" t="s">
        <v>889</v>
      </c>
      <c r="AG258" s="229" t="s">
        <v>188</v>
      </c>
    </row>
    <row r="259">
      <c r="A259" s="225" t="s">
        <v>71</v>
      </c>
      <c r="B259" s="225" t="s">
        <v>203</v>
      </c>
      <c r="C259" s="225" t="s">
        <v>59</v>
      </c>
      <c r="D259" s="226">
        <v>33.0</v>
      </c>
      <c r="E259" s="225" t="s">
        <v>815</v>
      </c>
      <c r="F259" s="227">
        <v>82.0</v>
      </c>
      <c r="G259" s="227">
        <v>36.0</v>
      </c>
      <c r="H259" s="227">
        <v>67.0</v>
      </c>
      <c r="I259" s="227">
        <v>103.0</v>
      </c>
      <c r="J259" s="226">
        <v>1.2560975609756098</v>
      </c>
      <c r="K259" s="226">
        <v>105.51219512195122</v>
      </c>
      <c r="L259" s="227">
        <v>175.0</v>
      </c>
      <c r="M259" s="226">
        <v>2.1341463414634148</v>
      </c>
      <c r="N259" s="228">
        <v>0.2057142857142857</v>
      </c>
      <c r="O259" s="227">
        <v>22.0</v>
      </c>
      <c r="P259" s="226">
        <v>0.2682926829268293</v>
      </c>
      <c r="Q259" s="225" t="s">
        <v>1470</v>
      </c>
      <c r="R259" s="228">
        <v>0.669</v>
      </c>
      <c r="S259" s="225" t="s">
        <v>1073</v>
      </c>
      <c r="T259" s="227">
        <v>43.0</v>
      </c>
      <c r="U259" s="227">
        <v>32.0</v>
      </c>
      <c r="V259" s="226">
        <v>0.3902439024390244</v>
      </c>
      <c r="W259" s="227">
        <v>47.0</v>
      </c>
      <c r="X259" s="226">
        <v>0.573170731707317</v>
      </c>
      <c r="Y259" s="227"/>
      <c r="Z259" s="228"/>
      <c r="AA259" s="227"/>
      <c r="AB259" s="228">
        <v>0.067</v>
      </c>
      <c r="AC259" s="225"/>
      <c r="AD259" s="225"/>
      <c r="AE259" s="227">
        <v>105.0</v>
      </c>
      <c r="AF259" s="225" t="s">
        <v>79</v>
      </c>
      <c r="AG259" s="229" t="s">
        <v>1508</v>
      </c>
    </row>
    <row r="260">
      <c r="A260" s="225" t="s">
        <v>71</v>
      </c>
      <c r="B260" s="225" t="s">
        <v>513</v>
      </c>
      <c r="C260" s="225" t="s">
        <v>123</v>
      </c>
      <c r="D260" s="226">
        <v>26.0</v>
      </c>
      <c r="E260" s="225" t="s">
        <v>815</v>
      </c>
      <c r="F260" s="227">
        <v>82.0</v>
      </c>
      <c r="G260" s="227">
        <v>30.0</v>
      </c>
      <c r="H260" s="227">
        <v>39.0</v>
      </c>
      <c r="I260" s="227">
        <v>69.0</v>
      </c>
      <c r="J260" s="226">
        <v>0.8414634146341463</v>
      </c>
      <c r="K260" s="226">
        <v>70.6829268292683</v>
      </c>
      <c r="L260" s="227">
        <v>150.0</v>
      </c>
      <c r="M260" s="226">
        <v>1.829268292682927</v>
      </c>
      <c r="N260" s="228">
        <v>0.2</v>
      </c>
      <c r="O260" s="227">
        <v>24.0</v>
      </c>
      <c r="P260" s="226">
        <v>0.2926829268292683</v>
      </c>
      <c r="Q260" s="225" t="s">
        <v>1108</v>
      </c>
      <c r="R260" s="228">
        <v>0.6509999999999999</v>
      </c>
      <c r="S260" s="225" t="s">
        <v>1509</v>
      </c>
      <c r="T260" s="227">
        <v>24.0</v>
      </c>
      <c r="U260" s="227">
        <v>20.0</v>
      </c>
      <c r="V260" s="226">
        <v>0.24390243902439024</v>
      </c>
      <c r="W260" s="227">
        <v>35.0</v>
      </c>
      <c r="X260" s="226">
        <v>0.4268292682926829</v>
      </c>
      <c r="Y260" s="227"/>
      <c r="Z260" s="228"/>
      <c r="AA260" s="227"/>
      <c r="AB260" s="228">
        <v>0.006</v>
      </c>
      <c r="AC260" s="225" t="s">
        <v>77</v>
      </c>
      <c r="AD260" s="225"/>
      <c r="AE260" s="227">
        <v>75.0</v>
      </c>
      <c r="AF260" s="225" t="s">
        <v>921</v>
      </c>
      <c r="AG260" s="229" t="s">
        <v>517</v>
      </c>
    </row>
    <row r="261">
      <c r="A261" s="225" t="s">
        <v>71</v>
      </c>
      <c r="B261" s="225" t="s">
        <v>920</v>
      </c>
      <c r="C261" s="225" t="s">
        <v>404</v>
      </c>
      <c r="D261" s="226">
        <v>24.0</v>
      </c>
      <c r="E261" s="225" t="s">
        <v>13</v>
      </c>
      <c r="F261" s="227">
        <v>68.0</v>
      </c>
      <c r="G261" s="227">
        <v>12.0</v>
      </c>
      <c r="H261" s="227">
        <v>20.0</v>
      </c>
      <c r="I261" s="227">
        <v>32.0</v>
      </c>
      <c r="J261" s="226">
        <v>0.47058823529411764</v>
      </c>
      <c r="K261" s="226">
        <v>39.529411764705884</v>
      </c>
      <c r="L261" s="227">
        <v>136.0</v>
      </c>
      <c r="M261" s="226">
        <v>2.0</v>
      </c>
      <c r="N261" s="228">
        <v>0.08823529411764706</v>
      </c>
      <c r="O261" s="227">
        <v>6.0</v>
      </c>
      <c r="P261" s="226">
        <v>0.08823529411764706</v>
      </c>
      <c r="Q261" s="225" t="s">
        <v>1444</v>
      </c>
      <c r="R261" s="228">
        <v>0.49200000000000005</v>
      </c>
      <c r="S261" s="225" t="s">
        <v>893</v>
      </c>
      <c r="T261" s="227">
        <v>20.0</v>
      </c>
      <c r="U261" s="227">
        <v>54.0</v>
      </c>
      <c r="V261" s="226">
        <v>0.7941176470588235</v>
      </c>
      <c r="W261" s="227">
        <v>33.0</v>
      </c>
      <c r="X261" s="226">
        <v>0.4852941176470588</v>
      </c>
      <c r="Y261" s="227"/>
      <c r="Z261" s="228"/>
      <c r="AA261" s="227"/>
      <c r="AB261" s="228">
        <v>0.002</v>
      </c>
      <c r="AC261" s="225" t="s">
        <v>77</v>
      </c>
      <c r="AD261" s="225"/>
      <c r="AE261" s="227">
        <v>55.0</v>
      </c>
      <c r="AF261" s="225" t="s">
        <v>1290</v>
      </c>
      <c r="AG261" s="229" t="s">
        <v>923</v>
      </c>
    </row>
    <row r="262">
      <c r="A262" s="225" t="s">
        <v>71</v>
      </c>
      <c r="B262" s="225" t="s">
        <v>1260</v>
      </c>
      <c r="C262" s="225" t="s">
        <v>59</v>
      </c>
      <c r="D262" s="226">
        <v>18.0</v>
      </c>
      <c r="E262" s="225"/>
      <c r="F262" s="227"/>
      <c r="G262" s="227"/>
      <c r="H262" s="227"/>
      <c r="I262" s="227"/>
      <c r="J262" s="226"/>
      <c r="K262" s="226"/>
      <c r="L262" s="227"/>
      <c r="M262" s="226"/>
      <c r="N262" s="228"/>
      <c r="O262" s="227"/>
      <c r="P262" s="226"/>
      <c r="Q262" s="225"/>
      <c r="R262" s="228"/>
      <c r="S262" s="225"/>
      <c r="T262" s="227"/>
      <c r="U262" s="227"/>
      <c r="V262" s="226"/>
      <c r="W262" s="227"/>
      <c r="X262" s="226"/>
      <c r="Y262" s="227"/>
      <c r="Z262" s="228"/>
      <c r="AA262" s="227"/>
      <c r="AB262" s="228"/>
      <c r="AC262" s="225"/>
      <c r="AD262" s="225" t="s">
        <v>77</v>
      </c>
      <c r="AE262" s="227">
        <v>50.0</v>
      </c>
      <c r="AF262" s="225" t="s">
        <v>283</v>
      </c>
      <c r="AG262" s="229" t="s">
        <v>1262</v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2:AG262">
    <cfRule type="expression" dxfId="7" priority="1">
      <formula>$F2=""</formula>
    </cfRule>
  </conditionalFormatting>
  <dataValidations>
    <dataValidation type="list" allowBlank="1" sqref="AC2:AD262">
      <formula1>"OUI"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0"/>
    <col customWidth="1" min="3" max="3" width="8.0"/>
    <col customWidth="1" min="4" max="4" width="7.0"/>
    <col customWidth="1" min="5" max="9" width="8.0"/>
    <col customWidth="1" min="10" max="10" width="9.0"/>
    <col customWidth="1" min="11" max="11" width="10.0"/>
    <col customWidth="1" min="12" max="12" width="8.0"/>
    <col customWidth="1" min="13" max="14" width="9.0"/>
    <col customWidth="1" min="15" max="15" width="8.0"/>
    <col customWidth="1" min="16" max="18" width="9.0"/>
    <col customWidth="1" min="19" max="21" width="8.0"/>
    <col customWidth="1" min="22" max="22" width="9.0"/>
    <col customWidth="1" min="23" max="23" width="8.0"/>
    <col customWidth="1" min="24" max="24" width="9.0"/>
    <col customWidth="1" min="25" max="25" width="8.0"/>
    <col customWidth="1" min="26" max="26" width="9.0"/>
    <col customWidth="1" min="27" max="28" width="8.0"/>
    <col customWidth="1" min="29" max="29" width="11.0"/>
    <col customWidth="1" min="30" max="30" width="10.0"/>
    <col customWidth="1" min="31" max="31" width="9.0"/>
    <col customWidth="1" min="32" max="32" width="12.0"/>
    <col customWidth="1" min="33" max="33" width="38.0"/>
  </cols>
  <sheetData>
    <row r="1" ht="27.75" customHeight="1">
      <c r="A1" s="224" t="s">
        <v>779</v>
      </c>
      <c r="B1" s="224" t="s">
        <v>781</v>
      </c>
      <c r="C1" s="224" t="s">
        <v>8</v>
      </c>
      <c r="D1" s="224" t="s">
        <v>5</v>
      </c>
      <c r="E1" s="224" t="s">
        <v>782</v>
      </c>
      <c r="F1" s="224" t="s">
        <v>11</v>
      </c>
      <c r="G1" s="224" t="s">
        <v>42</v>
      </c>
      <c r="H1" s="224" t="s">
        <v>36</v>
      </c>
      <c r="I1" s="224" t="s">
        <v>18</v>
      </c>
      <c r="J1" s="224" t="s">
        <v>784</v>
      </c>
      <c r="K1" s="224" t="s">
        <v>785</v>
      </c>
      <c r="L1" s="224" t="s">
        <v>786</v>
      </c>
      <c r="M1" s="224" t="s">
        <v>787</v>
      </c>
      <c r="N1" s="224" t="s">
        <v>788</v>
      </c>
      <c r="O1" s="224" t="s">
        <v>789</v>
      </c>
      <c r="P1" s="224" t="s">
        <v>790</v>
      </c>
      <c r="Q1" s="224" t="s">
        <v>791</v>
      </c>
      <c r="R1" s="224" t="s">
        <v>792</v>
      </c>
      <c r="S1" s="224" t="s">
        <v>793</v>
      </c>
      <c r="T1" s="224" t="s">
        <v>794</v>
      </c>
      <c r="U1" s="224" t="s">
        <v>795</v>
      </c>
      <c r="V1" s="224" t="s">
        <v>796</v>
      </c>
      <c r="W1" s="224" t="s">
        <v>797</v>
      </c>
      <c r="X1" s="224" t="s">
        <v>798</v>
      </c>
      <c r="Y1" s="224" t="s">
        <v>799</v>
      </c>
      <c r="Z1" s="224" t="s">
        <v>800</v>
      </c>
      <c r="AA1" s="224" t="s">
        <v>802</v>
      </c>
      <c r="AB1" s="224" t="s">
        <v>803</v>
      </c>
      <c r="AC1" s="224" t="s">
        <v>31</v>
      </c>
      <c r="AD1" s="224" t="s">
        <v>33</v>
      </c>
      <c r="AE1" s="224" t="s">
        <v>34</v>
      </c>
      <c r="AF1" s="224" t="s">
        <v>26</v>
      </c>
      <c r="AG1" s="224" t="s">
        <v>30</v>
      </c>
    </row>
    <row r="2">
      <c r="A2" s="225" t="s">
        <v>192</v>
      </c>
      <c r="B2" s="225" t="s">
        <v>211</v>
      </c>
      <c r="C2" s="225" t="s">
        <v>48</v>
      </c>
      <c r="D2" s="226">
        <v>25.4</v>
      </c>
      <c r="E2" s="225" t="s">
        <v>13</v>
      </c>
      <c r="F2" s="227">
        <v>82.0</v>
      </c>
      <c r="G2" s="227">
        <v>10.0</v>
      </c>
      <c r="H2" s="227">
        <v>48.0</v>
      </c>
      <c r="I2" s="227">
        <v>58.0</v>
      </c>
      <c r="J2" s="226">
        <v>0.7073170731707317</v>
      </c>
      <c r="K2" s="226">
        <v>59.41463414634146</v>
      </c>
      <c r="L2" s="227">
        <v>157.0</v>
      </c>
      <c r="M2" s="226">
        <v>1.9146341463414633</v>
      </c>
      <c r="N2" s="228">
        <v>0.06369426751592357</v>
      </c>
      <c r="O2" s="227">
        <v>17.0</v>
      </c>
      <c r="P2" s="226">
        <v>0.2073170731707317</v>
      </c>
      <c r="Q2" s="225" t="s">
        <v>1476</v>
      </c>
      <c r="R2" s="228">
        <v>0.608</v>
      </c>
      <c r="S2" s="225" t="s">
        <v>1510</v>
      </c>
      <c r="T2" s="227">
        <v>19.0</v>
      </c>
      <c r="U2" s="227">
        <v>74.0</v>
      </c>
      <c r="V2" s="226">
        <v>0.9024390243902439</v>
      </c>
      <c r="W2" s="227">
        <v>128.0</v>
      </c>
      <c r="X2" s="226">
        <v>1.5609756097560976</v>
      </c>
      <c r="Y2" s="227"/>
      <c r="Z2" s="228"/>
      <c r="AA2" s="227"/>
      <c r="AB2" s="228">
        <v>0.321</v>
      </c>
      <c r="AC2" s="225"/>
      <c r="AD2" s="225"/>
      <c r="AE2" s="227"/>
      <c r="AF2" s="225" t="s">
        <v>840</v>
      </c>
      <c r="AG2" s="229"/>
    </row>
    <row r="3">
      <c r="A3" s="225" t="s">
        <v>192</v>
      </c>
      <c r="B3" s="225" t="s">
        <v>669</v>
      </c>
      <c r="C3" s="225" t="s">
        <v>48</v>
      </c>
      <c r="D3" s="226">
        <v>22.6</v>
      </c>
      <c r="E3" s="225" t="s">
        <v>13</v>
      </c>
      <c r="F3" s="227">
        <v>73.0</v>
      </c>
      <c r="G3" s="227">
        <v>8.0</v>
      </c>
      <c r="H3" s="227">
        <v>14.0</v>
      </c>
      <c r="I3" s="227">
        <v>22.0</v>
      </c>
      <c r="J3" s="226">
        <v>0.3013698630136986</v>
      </c>
      <c r="K3" s="226">
        <v>25.315068493150683</v>
      </c>
      <c r="L3" s="227">
        <v>79.0</v>
      </c>
      <c r="M3" s="226">
        <v>1.082191780821918</v>
      </c>
      <c r="N3" s="228">
        <v>0.10126582278481013</v>
      </c>
      <c r="O3" s="227">
        <v>2.0</v>
      </c>
      <c r="P3" s="226">
        <v>0.0273972602739726</v>
      </c>
      <c r="Q3" s="225" t="s">
        <v>1511</v>
      </c>
      <c r="R3" s="228">
        <v>0.146</v>
      </c>
      <c r="S3" s="225" t="s">
        <v>1512</v>
      </c>
      <c r="T3" s="227">
        <v>17.0</v>
      </c>
      <c r="U3" s="227">
        <v>39.0</v>
      </c>
      <c r="V3" s="226">
        <v>0.5342465753424658</v>
      </c>
      <c r="W3" s="227">
        <v>112.0</v>
      </c>
      <c r="X3" s="226">
        <v>1.5342465753424657</v>
      </c>
      <c r="Y3" s="227"/>
      <c r="Z3" s="228"/>
      <c r="AA3" s="227"/>
      <c r="AB3" s="228">
        <v>0.42</v>
      </c>
      <c r="AC3" s="225"/>
      <c r="AD3" s="225"/>
      <c r="AE3" s="227"/>
      <c r="AF3" s="225" t="s">
        <v>1513</v>
      </c>
      <c r="AG3" s="229"/>
    </row>
    <row r="4">
      <c r="A4" s="225" t="s">
        <v>192</v>
      </c>
      <c r="B4" s="225" t="s">
        <v>591</v>
      </c>
      <c r="C4" s="225" t="s">
        <v>48</v>
      </c>
      <c r="D4" s="226">
        <v>22.4</v>
      </c>
      <c r="E4" s="225" t="s">
        <v>815</v>
      </c>
      <c r="F4" s="227">
        <v>1.0</v>
      </c>
      <c r="G4" s="227">
        <v>1.0</v>
      </c>
      <c r="H4" s="227">
        <v>0.0</v>
      </c>
      <c r="I4" s="227">
        <v>1.0</v>
      </c>
      <c r="J4" s="226">
        <v>1.0</v>
      </c>
      <c r="K4" s="226">
        <v>84.0</v>
      </c>
      <c r="L4" s="227">
        <v>2.0</v>
      </c>
      <c r="M4" s="226">
        <v>2.0</v>
      </c>
      <c r="N4" s="228">
        <v>0.5</v>
      </c>
      <c r="O4" s="227">
        <v>0.0</v>
      </c>
      <c r="P4" s="226">
        <v>0.0</v>
      </c>
      <c r="Q4" s="225" t="s">
        <v>877</v>
      </c>
      <c r="R4" s="228">
        <v>0.0</v>
      </c>
      <c r="S4" s="225" t="s">
        <v>1514</v>
      </c>
      <c r="T4" s="227">
        <v>0.0</v>
      </c>
      <c r="U4" s="227">
        <v>1.0</v>
      </c>
      <c r="V4" s="226">
        <v>1.0</v>
      </c>
      <c r="W4" s="227">
        <v>1.0</v>
      </c>
      <c r="X4" s="226">
        <v>1.0</v>
      </c>
      <c r="Y4" s="227"/>
      <c r="Z4" s="228"/>
      <c r="AA4" s="227"/>
      <c r="AB4" s="228">
        <v>0.0</v>
      </c>
      <c r="AC4" s="225"/>
      <c r="AD4" s="225"/>
      <c r="AE4" s="227"/>
      <c r="AF4" s="225" t="s">
        <v>1010</v>
      </c>
      <c r="AG4" s="229"/>
    </row>
    <row r="5">
      <c r="A5" s="225" t="s">
        <v>83</v>
      </c>
      <c r="B5" s="225" t="s">
        <v>154</v>
      </c>
      <c r="C5" s="225" t="s">
        <v>48</v>
      </c>
      <c r="D5" s="226">
        <v>28.5</v>
      </c>
      <c r="E5" s="225" t="s">
        <v>815</v>
      </c>
      <c r="F5" s="227">
        <v>69.0</v>
      </c>
      <c r="G5" s="227">
        <v>11.0</v>
      </c>
      <c r="H5" s="227">
        <v>50.0</v>
      </c>
      <c r="I5" s="227">
        <v>61.0</v>
      </c>
      <c r="J5" s="226">
        <v>0.8840579710144928</v>
      </c>
      <c r="K5" s="226">
        <v>74.26086956521739</v>
      </c>
      <c r="L5" s="227">
        <v>111.0</v>
      </c>
      <c r="M5" s="226">
        <v>1.608695652173913</v>
      </c>
      <c r="N5" s="228">
        <v>0.0990990990990991</v>
      </c>
      <c r="O5" s="227">
        <v>23.0</v>
      </c>
      <c r="P5" s="226">
        <v>0.3333333333333333</v>
      </c>
      <c r="Q5" s="225" t="s">
        <v>1196</v>
      </c>
      <c r="R5" s="228">
        <v>0.626</v>
      </c>
      <c r="S5" s="225" t="s">
        <v>1515</v>
      </c>
      <c r="T5" s="227">
        <v>62.0</v>
      </c>
      <c r="U5" s="227">
        <v>79.0</v>
      </c>
      <c r="V5" s="226">
        <v>1.144927536231884</v>
      </c>
      <c r="W5" s="227">
        <v>129.0</v>
      </c>
      <c r="X5" s="226">
        <v>1.8695652173913044</v>
      </c>
      <c r="Y5" s="227"/>
      <c r="Z5" s="228"/>
      <c r="AA5" s="227"/>
      <c r="AB5" s="228">
        <v>0.512</v>
      </c>
      <c r="AC5" s="225"/>
      <c r="AD5" s="225"/>
      <c r="AE5" s="227"/>
      <c r="AF5" s="225" t="s">
        <v>51</v>
      </c>
      <c r="AG5" s="229"/>
    </row>
    <row r="6">
      <c r="A6" s="225" t="s">
        <v>83</v>
      </c>
      <c r="B6" s="225" t="s">
        <v>596</v>
      </c>
      <c r="C6" s="225" t="s">
        <v>48</v>
      </c>
      <c r="D6" s="226">
        <v>25.4</v>
      </c>
      <c r="E6" s="225" t="s">
        <v>13</v>
      </c>
      <c r="F6" s="227">
        <v>73.0</v>
      </c>
      <c r="G6" s="227">
        <v>7.0</v>
      </c>
      <c r="H6" s="227">
        <v>19.0</v>
      </c>
      <c r="I6" s="227">
        <v>26.0</v>
      </c>
      <c r="J6" s="226">
        <v>0.3561643835616438</v>
      </c>
      <c r="K6" s="226">
        <v>29.91780821917808</v>
      </c>
      <c r="L6" s="227">
        <v>72.0</v>
      </c>
      <c r="M6" s="226">
        <v>0.9863013698630136</v>
      </c>
      <c r="N6" s="228">
        <v>0.09722222222222222</v>
      </c>
      <c r="O6" s="227">
        <v>5.0</v>
      </c>
      <c r="P6" s="226">
        <v>0.0684931506849315</v>
      </c>
      <c r="Q6" s="225" t="s">
        <v>1124</v>
      </c>
      <c r="R6" s="228">
        <v>0.299</v>
      </c>
      <c r="S6" s="225" t="s">
        <v>1440</v>
      </c>
      <c r="T6" s="227">
        <v>20.0</v>
      </c>
      <c r="U6" s="227">
        <v>30.0</v>
      </c>
      <c r="V6" s="226">
        <v>0.410958904109589</v>
      </c>
      <c r="W6" s="227">
        <v>93.0</v>
      </c>
      <c r="X6" s="226">
        <v>1.273972602739726</v>
      </c>
      <c r="Y6" s="227"/>
      <c r="Z6" s="228"/>
      <c r="AA6" s="227"/>
      <c r="AB6" s="228">
        <v>0.024</v>
      </c>
      <c r="AC6" s="225"/>
      <c r="AD6" s="225"/>
      <c r="AE6" s="227"/>
      <c r="AF6" s="225" t="s">
        <v>1516</v>
      </c>
      <c r="AG6" s="229"/>
    </row>
    <row r="7">
      <c r="A7" s="225" t="s">
        <v>83</v>
      </c>
      <c r="B7" s="225" t="s">
        <v>566</v>
      </c>
      <c r="C7" s="225" t="s">
        <v>48</v>
      </c>
      <c r="D7" s="226">
        <v>32.4</v>
      </c>
      <c r="E7" s="225" t="s">
        <v>13</v>
      </c>
      <c r="F7" s="227">
        <v>67.0</v>
      </c>
      <c r="G7" s="227">
        <v>5.0</v>
      </c>
      <c r="H7" s="227">
        <v>21.0</v>
      </c>
      <c r="I7" s="227">
        <v>26.0</v>
      </c>
      <c r="J7" s="226">
        <v>0.3880597014925373</v>
      </c>
      <c r="K7" s="226">
        <v>32.59701492537314</v>
      </c>
      <c r="L7" s="227">
        <v>100.0</v>
      </c>
      <c r="M7" s="226">
        <v>1.492537313432836</v>
      </c>
      <c r="N7" s="228">
        <v>0.05</v>
      </c>
      <c r="O7" s="227">
        <v>4.0</v>
      </c>
      <c r="P7" s="226">
        <v>0.05970149253731343</v>
      </c>
      <c r="Q7" s="225" t="s">
        <v>1517</v>
      </c>
      <c r="R7" s="228">
        <v>0.313</v>
      </c>
      <c r="S7" s="225" t="s">
        <v>1518</v>
      </c>
      <c r="T7" s="227">
        <v>58.0</v>
      </c>
      <c r="U7" s="227">
        <v>12.0</v>
      </c>
      <c r="V7" s="226">
        <v>0.1791044776119403</v>
      </c>
      <c r="W7" s="227">
        <v>103.0</v>
      </c>
      <c r="X7" s="226">
        <v>1.537313432835821</v>
      </c>
      <c r="Y7" s="227"/>
      <c r="Z7" s="228"/>
      <c r="AA7" s="227"/>
      <c r="AB7" s="228">
        <v>0.48100000000000004</v>
      </c>
      <c r="AC7" s="225"/>
      <c r="AD7" s="225"/>
      <c r="AE7" s="227"/>
      <c r="AF7" s="225" t="s">
        <v>288</v>
      </c>
      <c r="AG7" s="229"/>
    </row>
    <row r="8">
      <c r="A8" s="225" t="s">
        <v>98</v>
      </c>
      <c r="B8" s="225" t="s">
        <v>97</v>
      </c>
      <c r="C8" s="225" t="s">
        <v>48</v>
      </c>
      <c r="D8" s="226">
        <v>26.2</v>
      </c>
      <c r="E8" s="225" t="s">
        <v>13</v>
      </c>
      <c r="F8" s="227">
        <v>77.0</v>
      </c>
      <c r="G8" s="227">
        <v>19.0</v>
      </c>
      <c r="H8" s="227">
        <v>55.0</v>
      </c>
      <c r="I8" s="227">
        <v>74.0</v>
      </c>
      <c r="J8" s="226">
        <v>0.961038961038961</v>
      </c>
      <c r="K8" s="226">
        <v>80.72727272727272</v>
      </c>
      <c r="L8" s="227">
        <v>194.0</v>
      </c>
      <c r="M8" s="226">
        <v>2.5194805194805197</v>
      </c>
      <c r="N8" s="228">
        <v>0.0979381443298969</v>
      </c>
      <c r="O8" s="227">
        <v>22.0</v>
      </c>
      <c r="P8" s="226">
        <v>0.2857142857142857</v>
      </c>
      <c r="Q8" s="225" t="s">
        <v>810</v>
      </c>
      <c r="R8" s="228">
        <v>0.695</v>
      </c>
      <c r="S8" s="225" t="s">
        <v>1519</v>
      </c>
      <c r="T8" s="227">
        <v>76.0</v>
      </c>
      <c r="U8" s="227">
        <v>67.0</v>
      </c>
      <c r="V8" s="226">
        <v>0.8701298701298701</v>
      </c>
      <c r="W8" s="227">
        <v>79.0</v>
      </c>
      <c r="X8" s="226">
        <v>1.025974025974026</v>
      </c>
      <c r="Y8" s="227"/>
      <c r="Z8" s="228"/>
      <c r="AA8" s="227"/>
      <c r="AB8" s="228">
        <v>0.166</v>
      </c>
      <c r="AC8" s="225"/>
      <c r="AD8" s="225"/>
      <c r="AE8" s="227"/>
      <c r="AF8" s="225" t="s">
        <v>1343</v>
      </c>
      <c r="AG8" s="229"/>
    </row>
    <row r="9">
      <c r="A9" s="225" t="s">
        <v>98</v>
      </c>
      <c r="B9" s="225" t="s">
        <v>515</v>
      </c>
      <c r="C9" s="225" t="s">
        <v>48</v>
      </c>
      <c r="D9" s="226">
        <v>26.3</v>
      </c>
      <c r="E9" s="225" t="s">
        <v>13</v>
      </c>
      <c r="F9" s="227">
        <v>78.0</v>
      </c>
      <c r="G9" s="227">
        <v>13.0</v>
      </c>
      <c r="H9" s="227">
        <v>28.0</v>
      </c>
      <c r="I9" s="227">
        <v>41.0</v>
      </c>
      <c r="J9" s="226">
        <v>0.5256410256410257</v>
      </c>
      <c r="K9" s="226">
        <v>44.15384615384615</v>
      </c>
      <c r="L9" s="227">
        <v>109.0</v>
      </c>
      <c r="M9" s="226">
        <v>1.3974358974358974</v>
      </c>
      <c r="N9" s="228">
        <v>0.11926605504587157</v>
      </c>
      <c r="O9" s="227">
        <v>0.0</v>
      </c>
      <c r="P9" s="226">
        <v>0.0</v>
      </c>
      <c r="Q9" s="225" t="s">
        <v>1520</v>
      </c>
      <c r="R9" s="228">
        <v>0.01</v>
      </c>
      <c r="S9" s="225" t="s">
        <v>1521</v>
      </c>
      <c r="T9" s="227">
        <v>28.0</v>
      </c>
      <c r="U9" s="227">
        <v>132.0</v>
      </c>
      <c r="V9" s="226">
        <v>1.6923076923076923</v>
      </c>
      <c r="W9" s="227">
        <v>154.0</v>
      </c>
      <c r="X9" s="226">
        <v>1.9743589743589745</v>
      </c>
      <c r="Y9" s="227"/>
      <c r="Z9" s="228"/>
      <c r="AA9" s="227"/>
      <c r="AB9" s="228">
        <v>0.629</v>
      </c>
      <c r="AC9" s="225"/>
      <c r="AD9" s="225"/>
      <c r="AE9" s="227"/>
      <c r="AF9" s="225" t="s">
        <v>1522</v>
      </c>
      <c r="AG9" s="229"/>
    </row>
    <row r="10">
      <c r="A10" s="225" t="s">
        <v>98</v>
      </c>
      <c r="B10" s="225" t="s">
        <v>401</v>
      </c>
      <c r="C10" s="225" t="s">
        <v>48</v>
      </c>
      <c r="D10" s="226">
        <v>23.6</v>
      </c>
      <c r="E10" s="225" t="s">
        <v>13</v>
      </c>
      <c r="F10" s="227">
        <v>81.0</v>
      </c>
      <c r="G10" s="227">
        <v>8.0</v>
      </c>
      <c r="H10" s="227">
        <v>21.0</v>
      </c>
      <c r="I10" s="227">
        <v>29.0</v>
      </c>
      <c r="J10" s="226">
        <v>0.35802469135802467</v>
      </c>
      <c r="K10" s="226">
        <v>30.074074074074073</v>
      </c>
      <c r="L10" s="227">
        <v>120.0</v>
      </c>
      <c r="M10" s="226">
        <v>1.4814814814814814</v>
      </c>
      <c r="N10" s="228">
        <v>0.06666666666666667</v>
      </c>
      <c r="O10" s="227">
        <v>0.0</v>
      </c>
      <c r="P10" s="226">
        <v>0.0</v>
      </c>
      <c r="Q10" s="225" t="s">
        <v>1523</v>
      </c>
      <c r="R10" s="228">
        <v>0.188</v>
      </c>
      <c r="S10" s="225" t="s">
        <v>1524</v>
      </c>
      <c r="T10" s="227">
        <v>16.0</v>
      </c>
      <c r="U10" s="227">
        <v>29.0</v>
      </c>
      <c r="V10" s="226">
        <v>0.35802469135802467</v>
      </c>
      <c r="W10" s="227">
        <v>95.0</v>
      </c>
      <c r="X10" s="226">
        <v>1.1728395061728396</v>
      </c>
      <c r="Y10" s="227"/>
      <c r="Z10" s="228"/>
      <c r="AA10" s="227"/>
      <c r="AB10" s="228">
        <v>0.395</v>
      </c>
      <c r="AC10" s="225"/>
      <c r="AD10" s="225"/>
      <c r="AE10" s="227"/>
      <c r="AF10" s="225" t="s">
        <v>1362</v>
      </c>
      <c r="AG10" s="229"/>
    </row>
    <row r="11">
      <c r="A11" s="225" t="s">
        <v>98</v>
      </c>
      <c r="B11" s="225" t="s">
        <v>1525</v>
      </c>
      <c r="C11" s="225" t="s">
        <v>48</v>
      </c>
      <c r="D11" s="226">
        <v>25.1</v>
      </c>
      <c r="E11" s="225" t="s">
        <v>815</v>
      </c>
      <c r="F11" s="227">
        <v>78.0</v>
      </c>
      <c r="G11" s="227">
        <v>7.0</v>
      </c>
      <c r="H11" s="227">
        <v>18.0</v>
      </c>
      <c r="I11" s="227">
        <v>25.0</v>
      </c>
      <c r="J11" s="226">
        <v>0.32051282051282054</v>
      </c>
      <c r="K11" s="226">
        <v>26.923076923076927</v>
      </c>
      <c r="L11" s="227">
        <v>114.0</v>
      </c>
      <c r="M11" s="226">
        <v>1.4615384615384615</v>
      </c>
      <c r="N11" s="228">
        <v>0.06140350877192982</v>
      </c>
      <c r="O11" s="227">
        <v>0.0</v>
      </c>
      <c r="P11" s="226">
        <v>0.0</v>
      </c>
      <c r="Q11" s="225" t="s">
        <v>1526</v>
      </c>
      <c r="R11" s="228">
        <v>0.013000000000000001</v>
      </c>
      <c r="S11" s="225" t="s">
        <v>1527</v>
      </c>
      <c r="T11" s="227">
        <v>63.0</v>
      </c>
      <c r="U11" s="227">
        <v>124.0</v>
      </c>
      <c r="V11" s="226">
        <v>1.5897435897435896</v>
      </c>
      <c r="W11" s="227">
        <v>95.0</v>
      </c>
      <c r="X11" s="226">
        <v>1.2179487179487178</v>
      </c>
      <c r="Y11" s="227"/>
      <c r="Z11" s="228"/>
      <c r="AA11" s="227"/>
      <c r="AB11" s="228">
        <v>0.39899999999999997</v>
      </c>
      <c r="AC11" s="225"/>
      <c r="AD11" s="225"/>
      <c r="AE11" s="227"/>
      <c r="AF11" s="225" t="s">
        <v>1528</v>
      </c>
      <c r="AG11" s="229"/>
    </row>
    <row r="12">
      <c r="A12" s="225" t="s">
        <v>98</v>
      </c>
      <c r="B12" s="225" t="s">
        <v>653</v>
      </c>
      <c r="C12" s="225" t="s">
        <v>48</v>
      </c>
      <c r="D12" s="226">
        <v>22.8</v>
      </c>
      <c r="E12" s="225" t="s">
        <v>13</v>
      </c>
      <c r="F12" s="227">
        <v>76.0</v>
      </c>
      <c r="G12" s="227">
        <v>7.0</v>
      </c>
      <c r="H12" s="227">
        <v>15.0</v>
      </c>
      <c r="I12" s="227">
        <v>22.0</v>
      </c>
      <c r="J12" s="226">
        <v>0.2894736842105263</v>
      </c>
      <c r="K12" s="226">
        <v>24.315789473684212</v>
      </c>
      <c r="L12" s="227">
        <v>119.0</v>
      </c>
      <c r="M12" s="226">
        <v>1.5657894736842106</v>
      </c>
      <c r="N12" s="228">
        <v>0.058823529411764705</v>
      </c>
      <c r="O12" s="227">
        <v>3.0</v>
      </c>
      <c r="P12" s="226">
        <v>0.039473684210526314</v>
      </c>
      <c r="Q12" s="225" t="s">
        <v>1133</v>
      </c>
      <c r="R12" s="228">
        <v>0.14400000000000002</v>
      </c>
      <c r="S12" s="225" t="s">
        <v>935</v>
      </c>
      <c r="T12" s="227">
        <v>34.0</v>
      </c>
      <c r="U12" s="227">
        <v>33.0</v>
      </c>
      <c r="V12" s="226">
        <v>0.4342105263157895</v>
      </c>
      <c r="W12" s="227">
        <v>85.0</v>
      </c>
      <c r="X12" s="226">
        <v>1.118421052631579</v>
      </c>
      <c r="Y12" s="227"/>
      <c r="Z12" s="228"/>
      <c r="AA12" s="227"/>
      <c r="AB12" s="228">
        <v>0.166</v>
      </c>
      <c r="AC12" s="225"/>
      <c r="AD12" s="225"/>
      <c r="AE12" s="227"/>
      <c r="AF12" s="225" t="s">
        <v>450</v>
      </c>
      <c r="AG12" s="229"/>
    </row>
    <row r="13">
      <c r="A13" s="225" t="s">
        <v>155</v>
      </c>
      <c r="B13" s="225" t="s">
        <v>319</v>
      </c>
      <c r="C13" s="225" t="s">
        <v>48</v>
      </c>
      <c r="D13" s="226">
        <v>26.4</v>
      </c>
      <c r="E13" s="225" t="s">
        <v>13</v>
      </c>
      <c r="F13" s="227">
        <v>72.0</v>
      </c>
      <c r="G13" s="227">
        <v>8.0</v>
      </c>
      <c r="H13" s="227">
        <v>29.0</v>
      </c>
      <c r="I13" s="227">
        <v>37.0</v>
      </c>
      <c r="J13" s="226">
        <v>0.5138888888888888</v>
      </c>
      <c r="K13" s="226">
        <v>43.166666666666664</v>
      </c>
      <c r="L13" s="227">
        <v>123.0</v>
      </c>
      <c r="M13" s="226">
        <v>1.7083333333333333</v>
      </c>
      <c r="N13" s="228">
        <v>0.06504065040650407</v>
      </c>
      <c r="O13" s="227">
        <v>3.0</v>
      </c>
      <c r="P13" s="226">
        <v>0.041666666666666664</v>
      </c>
      <c r="Q13" s="225" t="s">
        <v>1453</v>
      </c>
      <c r="R13" s="228">
        <v>0.203</v>
      </c>
      <c r="S13" s="225" t="s">
        <v>1529</v>
      </c>
      <c r="T13" s="227">
        <v>56.0</v>
      </c>
      <c r="U13" s="227">
        <v>101.0</v>
      </c>
      <c r="V13" s="226">
        <v>1.4027777777777777</v>
      </c>
      <c r="W13" s="227">
        <v>79.0</v>
      </c>
      <c r="X13" s="226">
        <v>1.0972222222222223</v>
      </c>
      <c r="Y13" s="227"/>
      <c r="Z13" s="228"/>
      <c r="AA13" s="227"/>
      <c r="AB13" s="228">
        <v>0.429</v>
      </c>
      <c r="AC13" s="225"/>
      <c r="AD13" s="225"/>
      <c r="AE13" s="227"/>
      <c r="AF13" s="225" t="s">
        <v>921</v>
      </c>
      <c r="AG13" s="229"/>
    </row>
    <row r="14">
      <c r="A14" s="225" t="s">
        <v>155</v>
      </c>
      <c r="B14" s="225" t="s">
        <v>660</v>
      </c>
      <c r="C14" s="225" t="s">
        <v>48</v>
      </c>
      <c r="D14" s="226">
        <v>31.6</v>
      </c>
      <c r="E14" s="225" t="s">
        <v>815</v>
      </c>
      <c r="F14" s="227">
        <v>81.0</v>
      </c>
      <c r="G14" s="227">
        <v>9.0</v>
      </c>
      <c r="H14" s="227">
        <v>22.0</v>
      </c>
      <c r="I14" s="227">
        <v>31.0</v>
      </c>
      <c r="J14" s="226">
        <v>0.38271604938271603</v>
      </c>
      <c r="K14" s="226">
        <v>32.148148148148145</v>
      </c>
      <c r="L14" s="227">
        <v>179.0</v>
      </c>
      <c r="M14" s="226">
        <v>2.2098765432098766</v>
      </c>
      <c r="N14" s="228">
        <v>0.05027932960893855</v>
      </c>
      <c r="O14" s="227">
        <v>1.0</v>
      </c>
      <c r="P14" s="226">
        <v>0.012345679012345678</v>
      </c>
      <c r="Q14" s="225" t="s">
        <v>1530</v>
      </c>
      <c r="R14" s="228">
        <v>0.159</v>
      </c>
      <c r="S14" s="225" t="s">
        <v>1531</v>
      </c>
      <c r="T14" s="227">
        <v>59.0</v>
      </c>
      <c r="U14" s="227">
        <v>141.0</v>
      </c>
      <c r="V14" s="226">
        <v>1.7407407407407407</v>
      </c>
      <c r="W14" s="227">
        <v>125.0</v>
      </c>
      <c r="X14" s="226">
        <v>1.5432098765432098</v>
      </c>
      <c r="Y14" s="227"/>
      <c r="Z14" s="228"/>
      <c r="AA14" s="227"/>
      <c r="AB14" s="228">
        <v>0.415</v>
      </c>
      <c r="AC14" s="225"/>
      <c r="AD14" s="225"/>
      <c r="AE14" s="227"/>
      <c r="AF14" s="225" t="s">
        <v>1532</v>
      </c>
      <c r="AG14" s="229"/>
    </row>
    <row r="15">
      <c r="A15" s="225" t="s">
        <v>155</v>
      </c>
      <c r="B15" s="225" t="s">
        <v>1533</v>
      </c>
      <c r="C15" s="225" t="s">
        <v>48</v>
      </c>
      <c r="D15" s="226">
        <v>33.2</v>
      </c>
      <c r="E15" s="225" t="s">
        <v>13</v>
      </c>
      <c r="F15" s="227">
        <v>55.0</v>
      </c>
      <c r="G15" s="227">
        <v>13.0</v>
      </c>
      <c r="H15" s="227">
        <v>37.0</v>
      </c>
      <c r="I15" s="227">
        <v>50.0</v>
      </c>
      <c r="J15" s="226">
        <v>0.9090909090909091</v>
      </c>
      <c r="K15" s="226">
        <v>76.36363636363636</v>
      </c>
      <c r="L15" s="227">
        <v>116.0</v>
      </c>
      <c r="M15" s="226">
        <v>2.109090909090909</v>
      </c>
      <c r="N15" s="228">
        <v>0.11206896551724138</v>
      </c>
      <c r="O15" s="227">
        <v>18.0</v>
      </c>
      <c r="P15" s="226">
        <v>0.32727272727272727</v>
      </c>
      <c r="Q15" s="225" t="s">
        <v>1470</v>
      </c>
      <c r="R15" s="228">
        <v>0.6409999999999999</v>
      </c>
      <c r="S15" s="225" t="s">
        <v>1404</v>
      </c>
      <c r="T15" s="227">
        <v>22.0</v>
      </c>
      <c r="U15" s="227">
        <v>29.0</v>
      </c>
      <c r="V15" s="226">
        <v>0.5272727272727272</v>
      </c>
      <c r="W15" s="227">
        <v>63.0</v>
      </c>
      <c r="X15" s="226">
        <v>1.1454545454545455</v>
      </c>
      <c r="Y15" s="227"/>
      <c r="Z15" s="228"/>
      <c r="AA15" s="227"/>
      <c r="AB15" s="228">
        <v>0.013999999999999999</v>
      </c>
      <c r="AC15" s="225"/>
      <c r="AD15" s="225"/>
      <c r="AE15" s="227"/>
      <c r="AF15" s="225" t="s">
        <v>1516</v>
      </c>
      <c r="AG15" s="229"/>
    </row>
    <row r="16">
      <c r="A16" s="225" t="s">
        <v>155</v>
      </c>
      <c r="B16" s="225" t="s">
        <v>434</v>
      </c>
      <c r="C16" s="225" t="s">
        <v>48</v>
      </c>
      <c r="D16" s="226">
        <v>24.7</v>
      </c>
      <c r="E16" s="225" t="s">
        <v>13</v>
      </c>
      <c r="F16" s="227">
        <v>81.0</v>
      </c>
      <c r="G16" s="227">
        <v>11.0</v>
      </c>
      <c r="H16" s="227">
        <v>22.0</v>
      </c>
      <c r="I16" s="227">
        <v>33.0</v>
      </c>
      <c r="J16" s="226">
        <v>0.4074074074074074</v>
      </c>
      <c r="K16" s="226">
        <v>34.22222222222222</v>
      </c>
      <c r="L16" s="227">
        <v>122.0</v>
      </c>
      <c r="M16" s="226">
        <v>1.5061728395061729</v>
      </c>
      <c r="N16" s="228">
        <v>0.09016393442622951</v>
      </c>
      <c r="O16" s="227">
        <v>10.0</v>
      </c>
      <c r="P16" s="226">
        <v>0.12345679012345678</v>
      </c>
      <c r="Q16" s="225" t="s">
        <v>1534</v>
      </c>
      <c r="R16" s="228">
        <v>0.306</v>
      </c>
      <c r="S16" s="225" t="s">
        <v>1248</v>
      </c>
      <c r="T16" s="227">
        <v>33.0</v>
      </c>
      <c r="U16" s="227">
        <v>132.0</v>
      </c>
      <c r="V16" s="226">
        <v>1.6296296296296295</v>
      </c>
      <c r="W16" s="227">
        <v>94.0</v>
      </c>
      <c r="X16" s="226">
        <v>1.1604938271604939</v>
      </c>
      <c r="Y16" s="227"/>
      <c r="Z16" s="228"/>
      <c r="AA16" s="227"/>
      <c r="AB16" s="228">
        <v>0.233</v>
      </c>
      <c r="AC16" s="225"/>
      <c r="AD16" s="225"/>
      <c r="AE16" s="227"/>
      <c r="AF16" s="225" t="s">
        <v>1535</v>
      </c>
      <c r="AG16" s="229"/>
    </row>
    <row r="17">
      <c r="A17" s="225" t="s">
        <v>262</v>
      </c>
      <c r="B17" s="225" t="s">
        <v>1536</v>
      </c>
      <c r="C17" s="225" t="s">
        <v>48</v>
      </c>
      <c r="D17" s="226">
        <v>29.6</v>
      </c>
      <c r="E17" s="225" t="s">
        <v>815</v>
      </c>
      <c r="F17" s="227">
        <v>78.0</v>
      </c>
      <c r="G17" s="227">
        <v>2.0</v>
      </c>
      <c r="H17" s="227">
        <v>15.0</v>
      </c>
      <c r="I17" s="227">
        <v>17.0</v>
      </c>
      <c r="J17" s="226">
        <v>0.21794871794871795</v>
      </c>
      <c r="K17" s="226">
        <v>18.307692307692307</v>
      </c>
      <c r="L17" s="227">
        <v>67.0</v>
      </c>
      <c r="M17" s="226">
        <v>0.8589743589743589</v>
      </c>
      <c r="N17" s="228">
        <v>0.029850746268656716</v>
      </c>
      <c r="O17" s="227">
        <v>0.0</v>
      </c>
      <c r="P17" s="226">
        <v>0.0</v>
      </c>
      <c r="Q17" s="225" t="s">
        <v>1526</v>
      </c>
      <c r="R17" s="228">
        <v>0.017</v>
      </c>
      <c r="S17" s="225" t="s">
        <v>1537</v>
      </c>
      <c r="T17" s="227">
        <v>30.0</v>
      </c>
      <c r="U17" s="227">
        <v>124.0</v>
      </c>
      <c r="V17" s="226">
        <v>1.5897435897435896</v>
      </c>
      <c r="W17" s="227">
        <v>140.0</v>
      </c>
      <c r="X17" s="226">
        <v>1.794871794871795</v>
      </c>
      <c r="Y17" s="227"/>
      <c r="Z17" s="228"/>
      <c r="AA17" s="227"/>
      <c r="AB17" s="228">
        <v>0.537</v>
      </c>
      <c r="AC17" s="225"/>
      <c r="AD17" s="225"/>
      <c r="AE17" s="227"/>
      <c r="AF17" s="225" t="s">
        <v>1246</v>
      </c>
      <c r="AG17" s="229"/>
    </row>
    <row r="18">
      <c r="A18" s="225" t="s">
        <v>262</v>
      </c>
      <c r="B18" s="225" t="s">
        <v>474</v>
      </c>
      <c r="C18" s="225" t="s">
        <v>48</v>
      </c>
      <c r="D18" s="226">
        <v>22.3</v>
      </c>
      <c r="E18" s="225" t="s">
        <v>815</v>
      </c>
      <c r="F18" s="227">
        <v>68.0</v>
      </c>
      <c r="G18" s="227">
        <v>11.0</v>
      </c>
      <c r="H18" s="227">
        <v>15.0</v>
      </c>
      <c r="I18" s="227">
        <v>26.0</v>
      </c>
      <c r="J18" s="226">
        <v>0.38235294117647056</v>
      </c>
      <c r="K18" s="226">
        <v>32.11764705882353</v>
      </c>
      <c r="L18" s="227">
        <v>101.0</v>
      </c>
      <c r="M18" s="226">
        <v>1.4852941176470589</v>
      </c>
      <c r="N18" s="228">
        <v>0.10891089108910891</v>
      </c>
      <c r="O18" s="227">
        <v>2.0</v>
      </c>
      <c r="P18" s="226">
        <v>0.029411764705882353</v>
      </c>
      <c r="Q18" s="225" t="s">
        <v>1538</v>
      </c>
      <c r="R18" s="228">
        <v>0.3</v>
      </c>
      <c r="S18" s="225" t="s">
        <v>1539</v>
      </c>
      <c r="T18" s="227">
        <v>26.0</v>
      </c>
      <c r="U18" s="227">
        <v>23.0</v>
      </c>
      <c r="V18" s="226">
        <v>0.3382352941176471</v>
      </c>
      <c r="W18" s="227">
        <v>104.0</v>
      </c>
      <c r="X18" s="226">
        <v>1.5294117647058822</v>
      </c>
      <c r="Y18" s="227"/>
      <c r="Z18" s="228"/>
      <c r="AA18" s="227"/>
      <c r="AB18" s="228">
        <v>0.073</v>
      </c>
      <c r="AC18" s="225"/>
      <c r="AD18" s="225"/>
      <c r="AE18" s="227"/>
      <c r="AF18" s="225" t="s">
        <v>1540</v>
      </c>
      <c r="AG18" s="229"/>
    </row>
    <row r="19">
      <c r="A19" s="225" t="s">
        <v>262</v>
      </c>
      <c r="B19" s="225" t="s">
        <v>457</v>
      </c>
      <c r="C19" s="225" t="s">
        <v>48</v>
      </c>
      <c r="D19" s="226">
        <v>20.3</v>
      </c>
      <c r="E19" s="225" t="s">
        <v>815</v>
      </c>
      <c r="F19" s="227">
        <v>37.0</v>
      </c>
      <c r="G19" s="227">
        <v>4.0</v>
      </c>
      <c r="H19" s="227">
        <v>5.0</v>
      </c>
      <c r="I19" s="227">
        <v>9.0</v>
      </c>
      <c r="J19" s="226">
        <v>0.24324324324324326</v>
      </c>
      <c r="K19" s="226">
        <v>20.432432432432435</v>
      </c>
      <c r="L19" s="227">
        <v>49.0</v>
      </c>
      <c r="M19" s="226">
        <v>1.3243243243243243</v>
      </c>
      <c r="N19" s="228">
        <v>0.08163265306122448</v>
      </c>
      <c r="O19" s="227">
        <v>6.0</v>
      </c>
      <c r="P19" s="226">
        <v>0.16216216216216217</v>
      </c>
      <c r="Q19" s="225" t="s">
        <v>1541</v>
      </c>
      <c r="R19" s="228">
        <v>0.528</v>
      </c>
      <c r="S19" s="225" t="s">
        <v>1542</v>
      </c>
      <c r="T19" s="227">
        <v>8.0</v>
      </c>
      <c r="U19" s="227">
        <v>15.0</v>
      </c>
      <c r="V19" s="226">
        <v>0.40540540540540543</v>
      </c>
      <c r="W19" s="227">
        <v>30.0</v>
      </c>
      <c r="X19" s="226">
        <v>0.8108108108108109</v>
      </c>
      <c r="Y19" s="227"/>
      <c r="Z19" s="228"/>
      <c r="AA19" s="227"/>
      <c r="AB19" s="228">
        <v>0.003</v>
      </c>
      <c r="AC19" s="225"/>
      <c r="AD19" s="225"/>
      <c r="AE19" s="227"/>
      <c r="AF19" s="225" t="s">
        <v>1418</v>
      </c>
      <c r="AG19" s="229"/>
    </row>
    <row r="20">
      <c r="A20" s="225" t="s">
        <v>225</v>
      </c>
      <c r="B20" s="225" t="s">
        <v>1543</v>
      </c>
      <c r="C20" s="225" t="s">
        <v>48</v>
      </c>
      <c r="D20" s="226">
        <v>25.0</v>
      </c>
      <c r="E20" s="225" t="s">
        <v>13</v>
      </c>
      <c r="F20" s="227">
        <v>81.0</v>
      </c>
      <c r="G20" s="227">
        <v>2.0</v>
      </c>
      <c r="H20" s="227">
        <v>19.0</v>
      </c>
      <c r="I20" s="227">
        <v>21.0</v>
      </c>
      <c r="J20" s="226">
        <v>0.25925925925925924</v>
      </c>
      <c r="K20" s="226">
        <v>21.777777777777775</v>
      </c>
      <c r="L20" s="227">
        <v>86.0</v>
      </c>
      <c r="M20" s="226">
        <v>1.0617283950617284</v>
      </c>
      <c r="N20" s="228">
        <v>0.023255813953488372</v>
      </c>
      <c r="O20" s="227">
        <v>0.0</v>
      </c>
      <c r="P20" s="226">
        <v>0.0</v>
      </c>
      <c r="Q20" s="225" t="s">
        <v>1526</v>
      </c>
      <c r="R20" s="228">
        <v>0.016</v>
      </c>
      <c r="S20" s="225" t="s">
        <v>1544</v>
      </c>
      <c r="T20" s="227">
        <v>17.0</v>
      </c>
      <c r="U20" s="227">
        <v>29.0</v>
      </c>
      <c r="V20" s="226">
        <v>0.35802469135802467</v>
      </c>
      <c r="W20" s="227">
        <v>119.0</v>
      </c>
      <c r="X20" s="226">
        <v>1.4691358024691359</v>
      </c>
      <c r="Y20" s="227"/>
      <c r="Z20" s="228"/>
      <c r="AA20" s="227"/>
      <c r="AB20" s="228">
        <v>0.59</v>
      </c>
      <c r="AC20" s="225"/>
      <c r="AD20" s="225"/>
      <c r="AE20" s="227"/>
      <c r="AF20" s="225" t="s">
        <v>1545</v>
      </c>
      <c r="AG20" s="229"/>
    </row>
    <row r="21">
      <c r="A21" s="225" t="s">
        <v>225</v>
      </c>
      <c r="B21" s="225" t="s">
        <v>643</v>
      </c>
      <c r="C21" s="225" t="s">
        <v>48</v>
      </c>
      <c r="D21" s="226">
        <v>20.6</v>
      </c>
      <c r="E21" s="225" t="s">
        <v>815</v>
      </c>
      <c r="F21" s="227">
        <v>68.0</v>
      </c>
      <c r="G21" s="227">
        <v>2.0</v>
      </c>
      <c r="H21" s="227">
        <v>22.0</v>
      </c>
      <c r="I21" s="227">
        <v>24.0</v>
      </c>
      <c r="J21" s="226">
        <v>0.35294117647058826</v>
      </c>
      <c r="K21" s="226">
        <v>29.647058823529413</v>
      </c>
      <c r="L21" s="227">
        <v>84.0</v>
      </c>
      <c r="M21" s="226">
        <v>1.2352941176470589</v>
      </c>
      <c r="N21" s="228">
        <v>0.023809523809523808</v>
      </c>
      <c r="O21" s="227">
        <v>11.0</v>
      </c>
      <c r="P21" s="226">
        <v>0.16176470588235295</v>
      </c>
      <c r="Q21" s="225" t="s">
        <v>1546</v>
      </c>
      <c r="R21" s="228">
        <v>0.589</v>
      </c>
      <c r="S21" s="225" t="s">
        <v>1547</v>
      </c>
      <c r="T21" s="227">
        <v>44.0</v>
      </c>
      <c r="U21" s="227">
        <v>98.0</v>
      </c>
      <c r="V21" s="226">
        <v>1.4411764705882353</v>
      </c>
      <c r="W21" s="227">
        <v>75.0</v>
      </c>
      <c r="X21" s="226">
        <v>1.1029411764705883</v>
      </c>
      <c r="Y21" s="227"/>
      <c r="Z21" s="228"/>
      <c r="AA21" s="227"/>
      <c r="AB21" s="228">
        <v>0.107</v>
      </c>
      <c r="AC21" s="225"/>
      <c r="AD21" s="225"/>
      <c r="AE21" s="227"/>
      <c r="AF21" s="225" t="s">
        <v>1428</v>
      </c>
      <c r="AG21" s="229"/>
    </row>
    <row r="22">
      <c r="A22" s="225" t="s">
        <v>225</v>
      </c>
      <c r="B22" s="225" t="s">
        <v>241</v>
      </c>
      <c r="C22" s="225" t="s">
        <v>48</v>
      </c>
      <c r="D22" s="226">
        <v>25.0</v>
      </c>
      <c r="E22" s="225" t="s">
        <v>13</v>
      </c>
      <c r="F22" s="227">
        <v>82.0</v>
      </c>
      <c r="G22" s="227">
        <v>11.0</v>
      </c>
      <c r="H22" s="227">
        <v>31.0</v>
      </c>
      <c r="I22" s="227">
        <v>42.0</v>
      </c>
      <c r="J22" s="226">
        <v>0.5121951219512195</v>
      </c>
      <c r="K22" s="226">
        <v>43.02439024390244</v>
      </c>
      <c r="L22" s="227">
        <v>109.0</v>
      </c>
      <c r="M22" s="226">
        <v>1.329268292682927</v>
      </c>
      <c r="N22" s="228">
        <v>0.10091743119266056</v>
      </c>
      <c r="O22" s="227">
        <v>7.0</v>
      </c>
      <c r="P22" s="226">
        <v>0.08536585365853659</v>
      </c>
      <c r="Q22" s="225" t="s">
        <v>1265</v>
      </c>
      <c r="R22" s="228">
        <v>0.32</v>
      </c>
      <c r="S22" s="225" t="s">
        <v>1548</v>
      </c>
      <c r="T22" s="227">
        <v>48.0</v>
      </c>
      <c r="U22" s="227">
        <v>50.0</v>
      </c>
      <c r="V22" s="226">
        <v>0.6097560975609756</v>
      </c>
      <c r="W22" s="227">
        <v>93.0</v>
      </c>
      <c r="X22" s="226">
        <v>1.1341463414634145</v>
      </c>
      <c r="Y22" s="227"/>
      <c r="Z22" s="228"/>
      <c r="AA22" s="227"/>
      <c r="AB22" s="228">
        <v>0.342</v>
      </c>
      <c r="AC22" s="225"/>
      <c r="AD22" s="225"/>
      <c r="AE22" s="227"/>
      <c r="AF22" s="225" t="s">
        <v>469</v>
      </c>
      <c r="AG22" s="229"/>
    </row>
    <row r="23">
      <c r="A23" s="225" t="s">
        <v>225</v>
      </c>
      <c r="B23" s="225" t="s">
        <v>619</v>
      </c>
      <c r="C23" s="225" t="s">
        <v>48</v>
      </c>
      <c r="D23" s="226">
        <v>22.0</v>
      </c>
      <c r="E23" s="225" t="s">
        <v>815</v>
      </c>
      <c r="F23" s="227">
        <v>54.0</v>
      </c>
      <c r="G23" s="227">
        <v>4.0</v>
      </c>
      <c r="H23" s="227">
        <v>10.0</v>
      </c>
      <c r="I23" s="227">
        <v>14.0</v>
      </c>
      <c r="J23" s="226">
        <v>0.25925925925925924</v>
      </c>
      <c r="K23" s="226">
        <v>21.777777777777775</v>
      </c>
      <c r="L23" s="227">
        <v>83.0</v>
      </c>
      <c r="M23" s="226">
        <v>1.537037037037037</v>
      </c>
      <c r="N23" s="228">
        <v>0.04819277108433735</v>
      </c>
      <c r="O23" s="227">
        <v>1.0</v>
      </c>
      <c r="P23" s="226">
        <v>0.018518518518518517</v>
      </c>
      <c r="Q23" s="225" t="s">
        <v>1445</v>
      </c>
      <c r="R23" s="228">
        <v>0.42700000000000005</v>
      </c>
      <c r="S23" s="225" t="s">
        <v>1549</v>
      </c>
      <c r="T23" s="227">
        <v>44.0</v>
      </c>
      <c r="U23" s="227">
        <v>49.0</v>
      </c>
      <c r="V23" s="226">
        <v>0.9074074074074074</v>
      </c>
      <c r="W23" s="227">
        <v>63.0</v>
      </c>
      <c r="X23" s="226">
        <v>1.1666666666666667</v>
      </c>
      <c r="Y23" s="227"/>
      <c r="Z23" s="228"/>
      <c r="AA23" s="227"/>
      <c r="AB23" s="228">
        <v>0.042</v>
      </c>
      <c r="AC23" s="225"/>
      <c r="AD23" s="225"/>
      <c r="AE23" s="227"/>
      <c r="AF23" s="225" t="s">
        <v>1550</v>
      </c>
      <c r="AG23" s="229"/>
    </row>
    <row r="24">
      <c r="A24" s="225" t="s">
        <v>73</v>
      </c>
      <c r="B24" s="225" t="s">
        <v>70</v>
      </c>
      <c r="C24" s="225" t="s">
        <v>48</v>
      </c>
      <c r="D24" s="226">
        <v>28.9</v>
      </c>
      <c r="E24" s="225" t="s">
        <v>13</v>
      </c>
      <c r="F24" s="227">
        <v>75.0</v>
      </c>
      <c r="G24" s="227">
        <v>22.0</v>
      </c>
      <c r="H24" s="227">
        <v>59.0</v>
      </c>
      <c r="I24" s="227">
        <v>81.0</v>
      </c>
      <c r="J24" s="226">
        <v>1.08</v>
      </c>
      <c r="K24" s="226">
        <v>90.72</v>
      </c>
      <c r="L24" s="227">
        <v>260.0</v>
      </c>
      <c r="M24" s="226">
        <v>3.466666666666667</v>
      </c>
      <c r="N24" s="228">
        <v>0.08461538461538462</v>
      </c>
      <c r="O24" s="227">
        <v>21.0</v>
      </c>
      <c r="P24" s="226">
        <v>0.28</v>
      </c>
      <c r="Q24" s="225" t="s">
        <v>1300</v>
      </c>
      <c r="R24" s="228">
        <v>0.769</v>
      </c>
      <c r="S24" s="225" t="s">
        <v>1551</v>
      </c>
      <c r="T24" s="227">
        <v>18.0</v>
      </c>
      <c r="U24" s="227">
        <v>30.0</v>
      </c>
      <c r="V24" s="226">
        <v>0.4</v>
      </c>
      <c r="W24" s="227">
        <v>94.0</v>
      </c>
      <c r="X24" s="226">
        <v>1.2533333333333334</v>
      </c>
      <c r="Y24" s="227"/>
      <c r="Z24" s="228"/>
      <c r="AA24" s="227"/>
      <c r="AB24" s="228">
        <v>0.27</v>
      </c>
      <c r="AC24" s="225"/>
      <c r="AD24" s="225"/>
      <c r="AE24" s="227"/>
      <c r="AF24" s="225" t="s">
        <v>1552</v>
      </c>
      <c r="AG24" s="229"/>
    </row>
    <row r="25">
      <c r="A25" s="225" t="s">
        <v>73</v>
      </c>
      <c r="B25" s="225" t="s">
        <v>562</v>
      </c>
      <c r="C25" s="225" t="s">
        <v>48</v>
      </c>
      <c r="D25" s="226">
        <v>31.9</v>
      </c>
      <c r="E25" s="225" t="s">
        <v>815</v>
      </c>
      <c r="F25" s="227">
        <v>71.0</v>
      </c>
      <c r="G25" s="227">
        <v>8.0</v>
      </c>
      <c r="H25" s="227">
        <v>24.0</v>
      </c>
      <c r="I25" s="227">
        <v>32.0</v>
      </c>
      <c r="J25" s="226">
        <v>0.4507042253521127</v>
      </c>
      <c r="K25" s="226">
        <v>37.859154929577464</v>
      </c>
      <c r="L25" s="227">
        <v>93.0</v>
      </c>
      <c r="M25" s="226">
        <v>1.3098591549295775</v>
      </c>
      <c r="N25" s="228">
        <v>0.08602150537634409</v>
      </c>
      <c r="O25" s="227">
        <v>4.0</v>
      </c>
      <c r="P25" s="226">
        <v>0.056338028169014086</v>
      </c>
      <c r="Q25" s="225" t="s">
        <v>1184</v>
      </c>
      <c r="R25" s="228">
        <v>0.27699999999999997</v>
      </c>
      <c r="S25" s="225" t="s">
        <v>1553</v>
      </c>
      <c r="T25" s="227">
        <v>45.0</v>
      </c>
      <c r="U25" s="227">
        <v>39.0</v>
      </c>
      <c r="V25" s="226">
        <v>0.5492957746478874</v>
      </c>
      <c r="W25" s="227">
        <v>86.0</v>
      </c>
      <c r="X25" s="226">
        <v>1.2112676056338028</v>
      </c>
      <c r="Y25" s="227"/>
      <c r="Z25" s="228"/>
      <c r="AA25" s="227"/>
      <c r="AB25" s="228">
        <v>0.132</v>
      </c>
      <c r="AC25" s="225"/>
      <c r="AD25" s="225"/>
      <c r="AE25" s="227"/>
      <c r="AF25" s="225" t="s">
        <v>469</v>
      </c>
      <c r="AG25" s="229"/>
    </row>
    <row r="26">
      <c r="A26" s="225" t="s">
        <v>73</v>
      </c>
      <c r="B26" s="225" t="s">
        <v>508</v>
      </c>
      <c r="C26" s="225" t="s">
        <v>48</v>
      </c>
      <c r="D26" s="226">
        <v>29.4</v>
      </c>
      <c r="E26" s="225" t="s">
        <v>13</v>
      </c>
      <c r="F26" s="227">
        <v>82.0</v>
      </c>
      <c r="G26" s="227">
        <v>9.0</v>
      </c>
      <c r="H26" s="227">
        <v>22.0</v>
      </c>
      <c r="I26" s="227">
        <v>31.0</v>
      </c>
      <c r="J26" s="226">
        <v>0.3780487804878049</v>
      </c>
      <c r="K26" s="226">
        <v>31.75609756097561</v>
      </c>
      <c r="L26" s="227">
        <v>158.0</v>
      </c>
      <c r="M26" s="226">
        <v>1.9268292682926829</v>
      </c>
      <c r="N26" s="228">
        <v>0.056962025316455694</v>
      </c>
      <c r="O26" s="227">
        <v>5.0</v>
      </c>
      <c r="P26" s="226">
        <v>0.06097560975609756</v>
      </c>
      <c r="Q26" s="225" t="s">
        <v>970</v>
      </c>
      <c r="R26" s="228">
        <v>0.26899999999999996</v>
      </c>
      <c r="S26" s="225" t="s">
        <v>1554</v>
      </c>
      <c r="T26" s="227">
        <v>32.0</v>
      </c>
      <c r="U26" s="227">
        <v>28.0</v>
      </c>
      <c r="V26" s="226">
        <v>0.34146341463414637</v>
      </c>
      <c r="W26" s="227">
        <v>134.0</v>
      </c>
      <c r="X26" s="226">
        <v>1.6341463414634145</v>
      </c>
      <c r="Y26" s="227"/>
      <c r="Z26" s="228"/>
      <c r="AA26" s="227"/>
      <c r="AB26" s="228">
        <v>0.674</v>
      </c>
      <c r="AC26" s="225"/>
      <c r="AD26" s="225"/>
      <c r="AE26" s="227"/>
      <c r="AF26" s="225" t="s">
        <v>79</v>
      </c>
      <c r="AG26" s="229"/>
    </row>
    <row r="27">
      <c r="A27" s="225" t="s">
        <v>73</v>
      </c>
      <c r="B27" s="225" t="s">
        <v>551</v>
      </c>
      <c r="C27" s="225" t="s">
        <v>48</v>
      </c>
      <c r="D27" s="226">
        <v>21.9</v>
      </c>
      <c r="E27" s="225" t="s">
        <v>13</v>
      </c>
      <c r="F27" s="227">
        <v>75.0</v>
      </c>
      <c r="G27" s="227">
        <v>13.0</v>
      </c>
      <c r="H27" s="227">
        <v>18.0</v>
      </c>
      <c r="I27" s="227">
        <v>31.0</v>
      </c>
      <c r="J27" s="226">
        <v>0.41333333333333333</v>
      </c>
      <c r="K27" s="226">
        <v>34.72</v>
      </c>
      <c r="L27" s="227">
        <v>88.0</v>
      </c>
      <c r="M27" s="226">
        <v>1.1733333333333333</v>
      </c>
      <c r="N27" s="228">
        <v>0.14772727272727273</v>
      </c>
      <c r="O27" s="227">
        <v>3.0</v>
      </c>
      <c r="P27" s="226">
        <v>0.04</v>
      </c>
      <c r="Q27" s="225" t="s">
        <v>1555</v>
      </c>
      <c r="R27" s="228">
        <v>0.135</v>
      </c>
      <c r="S27" s="225" t="s">
        <v>1556</v>
      </c>
      <c r="T27" s="227">
        <v>8.0</v>
      </c>
      <c r="U27" s="227">
        <v>26.0</v>
      </c>
      <c r="V27" s="226">
        <v>0.3466666666666667</v>
      </c>
      <c r="W27" s="227">
        <v>92.0</v>
      </c>
      <c r="X27" s="226">
        <v>1.2266666666666666</v>
      </c>
      <c r="Y27" s="227"/>
      <c r="Z27" s="228"/>
      <c r="AA27" s="227"/>
      <c r="AB27" s="228">
        <v>0.34299999999999997</v>
      </c>
      <c r="AC27" s="225"/>
      <c r="AD27" s="225"/>
      <c r="AE27" s="227"/>
      <c r="AF27" s="225" t="s">
        <v>1557</v>
      </c>
      <c r="AG27" s="229"/>
    </row>
    <row r="28">
      <c r="A28" s="225" t="s">
        <v>64</v>
      </c>
      <c r="B28" s="225" t="s">
        <v>62</v>
      </c>
      <c r="C28" s="225" t="s">
        <v>48</v>
      </c>
      <c r="D28" s="226">
        <v>27.6</v>
      </c>
      <c r="E28" s="225" t="s">
        <v>815</v>
      </c>
      <c r="F28" s="227">
        <v>75.0</v>
      </c>
      <c r="G28" s="227">
        <v>20.0</v>
      </c>
      <c r="H28" s="227">
        <v>59.0</v>
      </c>
      <c r="I28" s="227">
        <v>79.0</v>
      </c>
      <c r="J28" s="226">
        <v>1.0533333333333332</v>
      </c>
      <c r="K28" s="226">
        <v>88.47999999999999</v>
      </c>
      <c r="L28" s="227">
        <v>199.0</v>
      </c>
      <c r="M28" s="226">
        <v>2.6533333333333333</v>
      </c>
      <c r="N28" s="228">
        <v>0.10050251256281408</v>
      </c>
      <c r="O28" s="227">
        <v>29.0</v>
      </c>
      <c r="P28" s="226">
        <v>0.38666666666666666</v>
      </c>
      <c r="Q28" s="225" t="s">
        <v>1451</v>
      </c>
      <c r="R28" s="228">
        <v>0.753</v>
      </c>
      <c r="S28" s="225" t="s">
        <v>1558</v>
      </c>
      <c r="T28" s="227">
        <v>24.0</v>
      </c>
      <c r="U28" s="227">
        <v>35.0</v>
      </c>
      <c r="V28" s="226">
        <v>0.4666666666666667</v>
      </c>
      <c r="W28" s="227">
        <v>118.0</v>
      </c>
      <c r="X28" s="226">
        <v>1.5733333333333333</v>
      </c>
      <c r="Y28" s="227"/>
      <c r="Z28" s="228"/>
      <c r="AA28" s="227"/>
      <c r="AB28" s="228">
        <v>0.40299999999999997</v>
      </c>
      <c r="AC28" s="225"/>
      <c r="AD28" s="225"/>
      <c r="AE28" s="227"/>
      <c r="AF28" s="225" t="s">
        <v>1222</v>
      </c>
      <c r="AG28" s="229"/>
    </row>
    <row r="29">
      <c r="A29" s="225" t="s">
        <v>64</v>
      </c>
      <c r="B29" s="225" t="s">
        <v>387</v>
      </c>
      <c r="C29" s="225" t="s">
        <v>48</v>
      </c>
      <c r="D29" s="226">
        <v>32.3</v>
      </c>
      <c r="E29" s="225" t="s">
        <v>13</v>
      </c>
      <c r="F29" s="227">
        <v>68.0</v>
      </c>
      <c r="G29" s="227">
        <v>3.0</v>
      </c>
      <c r="H29" s="227">
        <v>21.0</v>
      </c>
      <c r="I29" s="227">
        <v>24.0</v>
      </c>
      <c r="J29" s="226">
        <v>0.35294117647058826</v>
      </c>
      <c r="K29" s="226">
        <v>29.647058823529413</v>
      </c>
      <c r="L29" s="227">
        <v>115.0</v>
      </c>
      <c r="M29" s="226">
        <v>1.6911764705882353</v>
      </c>
      <c r="N29" s="228">
        <v>0.02608695652173913</v>
      </c>
      <c r="O29" s="227">
        <v>1.0</v>
      </c>
      <c r="P29" s="226">
        <v>0.014705882352941176</v>
      </c>
      <c r="Q29" s="225" t="s">
        <v>1013</v>
      </c>
      <c r="R29" s="228">
        <v>0.254</v>
      </c>
      <c r="S29" s="225" t="s">
        <v>1559</v>
      </c>
      <c r="T29" s="227">
        <v>32.0</v>
      </c>
      <c r="U29" s="227">
        <v>26.0</v>
      </c>
      <c r="V29" s="226">
        <v>0.38235294117647056</v>
      </c>
      <c r="W29" s="227">
        <v>83.0</v>
      </c>
      <c r="X29" s="226">
        <v>1.2205882352941178</v>
      </c>
      <c r="Y29" s="227"/>
      <c r="Z29" s="228"/>
      <c r="AA29" s="227"/>
      <c r="AB29" s="228">
        <v>0.48100000000000004</v>
      </c>
      <c r="AC29" s="225"/>
      <c r="AD29" s="225"/>
      <c r="AE29" s="227"/>
      <c r="AF29" s="225" t="s">
        <v>1277</v>
      </c>
      <c r="AG29" s="229"/>
    </row>
    <row r="30">
      <c r="A30" s="225" t="s">
        <v>64</v>
      </c>
      <c r="B30" s="225" t="s">
        <v>351</v>
      </c>
      <c r="C30" s="225" t="s">
        <v>48</v>
      </c>
      <c r="D30" s="226">
        <v>27.9</v>
      </c>
      <c r="E30" s="225" t="s">
        <v>815</v>
      </c>
      <c r="F30" s="227">
        <v>82.0</v>
      </c>
      <c r="G30" s="227">
        <v>8.0</v>
      </c>
      <c r="H30" s="227">
        <v>32.0</v>
      </c>
      <c r="I30" s="227">
        <v>40.0</v>
      </c>
      <c r="J30" s="226">
        <v>0.4878048780487805</v>
      </c>
      <c r="K30" s="226">
        <v>40.97560975609756</v>
      </c>
      <c r="L30" s="227">
        <v>164.0</v>
      </c>
      <c r="M30" s="226">
        <v>2.0</v>
      </c>
      <c r="N30" s="228">
        <v>0.04878048780487805</v>
      </c>
      <c r="O30" s="227">
        <v>1.0</v>
      </c>
      <c r="P30" s="226">
        <v>0.012195121951219513</v>
      </c>
      <c r="Q30" s="225" t="s">
        <v>1560</v>
      </c>
      <c r="R30" s="228">
        <v>0.044000000000000004</v>
      </c>
      <c r="S30" s="225" t="s">
        <v>896</v>
      </c>
      <c r="T30" s="227">
        <v>22.0</v>
      </c>
      <c r="U30" s="227">
        <v>46.0</v>
      </c>
      <c r="V30" s="226">
        <v>0.5609756097560976</v>
      </c>
      <c r="W30" s="227">
        <v>95.0</v>
      </c>
      <c r="X30" s="226">
        <v>1.1585365853658536</v>
      </c>
      <c r="Y30" s="227"/>
      <c r="Z30" s="228"/>
      <c r="AA30" s="227"/>
      <c r="AB30" s="228">
        <v>0.154</v>
      </c>
      <c r="AC30" s="225"/>
      <c r="AD30" s="225"/>
      <c r="AE30" s="227"/>
      <c r="AF30" s="225" t="s">
        <v>1561</v>
      </c>
      <c r="AG30" s="229"/>
    </row>
    <row r="31">
      <c r="A31" s="225" t="s">
        <v>64</v>
      </c>
      <c r="B31" s="225" t="s">
        <v>632</v>
      </c>
      <c r="C31" s="225" t="s">
        <v>48</v>
      </c>
      <c r="D31" s="226">
        <v>34.7</v>
      </c>
      <c r="E31" s="225" t="s">
        <v>815</v>
      </c>
      <c r="F31" s="227">
        <v>79.0</v>
      </c>
      <c r="G31" s="227">
        <v>5.0</v>
      </c>
      <c r="H31" s="227">
        <v>26.0</v>
      </c>
      <c r="I31" s="227">
        <v>31.0</v>
      </c>
      <c r="J31" s="226">
        <v>0.3924050632911392</v>
      </c>
      <c r="K31" s="226">
        <v>32.962025316455694</v>
      </c>
      <c r="L31" s="227">
        <v>128.0</v>
      </c>
      <c r="M31" s="226">
        <v>1.620253164556962</v>
      </c>
      <c r="N31" s="228">
        <v>0.0390625</v>
      </c>
      <c r="O31" s="227">
        <v>0.0</v>
      </c>
      <c r="P31" s="226">
        <v>0.0</v>
      </c>
      <c r="Q31" s="225" t="s">
        <v>1526</v>
      </c>
      <c r="R31" s="228">
        <v>0.012</v>
      </c>
      <c r="S31" s="225" t="s">
        <v>1562</v>
      </c>
      <c r="T31" s="227">
        <v>91.0</v>
      </c>
      <c r="U31" s="227">
        <v>174.0</v>
      </c>
      <c r="V31" s="226">
        <v>2.2025316455696204</v>
      </c>
      <c r="W31" s="227">
        <v>99.0</v>
      </c>
      <c r="X31" s="226">
        <v>1.2531645569620253</v>
      </c>
      <c r="Y31" s="227"/>
      <c r="Z31" s="228"/>
      <c r="AA31" s="227"/>
      <c r="AB31" s="228">
        <v>0.402</v>
      </c>
      <c r="AC31" s="225"/>
      <c r="AD31" s="225"/>
      <c r="AE31" s="227"/>
      <c r="AF31" s="225" t="s">
        <v>308</v>
      </c>
      <c r="AG31" s="229"/>
    </row>
    <row r="32">
      <c r="A32" s="225" t="s">
        <v>64</v>
      </c>
      <c r="B32" s="225" t="s">
        <v>504</v>
      </c>
      <c r="C32" s="225" t="s">
        <v>48</v>
      </c>
      <c r="D32" s="226">
        <v>41.3</v>
      </c>
      <c r="E32" s="225" t="s">
        <v>815</v>
      </c>
      <c r="F32" s="227">
        <v>82.0</v>
      </c>
      <c r="G32" s="227">
        <v>12.0</v>
      </c>
      <c r="H32" s="227">
        <v>23.0</v>
      </c>
      <c r="I32" s="227">
        <v>35.0</v>
      </c>
      <c r="J32" s="226">
        <v>0.4268292682926829</v>
      </c>
      <c r="K32" s="226">
        <v>35.853658536585364</v>
      </c>
      <c r="L32" s="227">
        <v>172.0</v>
      </c>
      <c r="M32" s="226">
        <v>2.097560975609756</v>
      </c>
      <c r="N32" s="228">
        <v>0.06976744186046512</v>
      </c>
      <c r="O32" s="227">
        <v>1.0</v>
      </c>
      <c r="P32" s="226">
        <v>0.012195121951219513</v>
      </c>
      <c r="Q32" s="225" t="s">
        <v>1563</v>
      </c>
      <c r="R32" s="228">
        <v>0.124</v>
      </c>
      <c r="S32" s="225" t="s">
        <v>943</v>
      </c>
      <c r="T32" s="227">
        <v>32.0</v>
      </c>
      <c r="U32" s="227">
        <v>20.0</v>
      </c>
      <c r="V32" s="226">
        <v>0.24390243902439024</v>
      </c>
      <c r="W32" s="227">
        <v>91.0</v>
      </c>
      <c r="X32" s="226">
        <v>1.1097560975609757</v>
      </c>
      <c r="Y32" s="227"/>
      <c r="Z32" s="228"/>
      <c r="AA32" s="227"/>
      <c r="AB32" s="228">
        <v>0.456</v>
      </c>
      <c r="AC32" s="225"/>
      <c r="AD32" s="225"/>
      <c r="AE32" s="227"/>
      <c r="AF32" s="225" t="s">
        <v>554</v>
      </c>
      <c r="AG32" s="229"/>
    </row>
    <row r="33">
      <c r="A33" s="225" t="s">
        <v>43</v>
      </c>
      <c r="B33" s="225" t="s">
        <v>609</v>
      </c>
      <c r="C33" s="225" t="s">
        <v>48</v>
      </c>
      <c r="D33" s="226">
        <v>32.1</v>
      </c>
      <c r="E33" s="225" t="s">
        <v>13</v>
      </c>
      <c r="F33" s="227">
        <v>82.0</v>
      </c>
      <c r="G33" s="227">
        <v>6.0</v>
      </c>
      <c r="H33" s="227">
        <v>26.0</v>
      </c>
      <c r="I33" s="227">
        <v>32.0</v>
      </c>
      <c r="J33" s="226">
        <v>0.3902439024390244</v>
      </c>
      <c r="K33" s="226">
        <v>32.78048780487805</v>
      </c>
      <c r="L33" s="227">
        <v>83.0</v>
      </c>
      <c r="M33" s="226">
        <v>1.0121951219512195</v>
      </c>
      <c r="N33" s="228">
        <v>0.07228915662650602</v>
      </c>
      <c r="O33" s="227">
        <v>2.0</v>
      </c>
      <c r="P33" s="226">
        <v>0.024390243902439025</v>
      </c>
      <c r="Q33" s="225" t="s">
        <v>1530</v>
      </c>
      <c r="R33" s="228">
        <v>0.158</v>
      </c>
      <c r="S33" s="225" t="s">
        <v>1564</v>
      </c>
      <c r="T33" s="227">
        <v>20.0</v>
      </c>
      <c r="U33" s="227">
        <v>30.0</v>
      </c>
      <c r="V33" s="226">
        <v>0.36585365853658536</v>
      </c>
      <c r="W33" s="227">
        <v>179.0</v>
      </c>
      <c r="X33" s="226">
        <v>2.182926829268293</v>
      </c>
      <c r="Y33" s="227"/>
      <c r="Z33" s="228"/>
      <c r="AA33" s="227"/>
      <c r="AB33" s="228">
        <v>0.7659999999999999</v>
      </c>
      <c r="AC33" s="225"/>
      <c r="AD33" s="225"/>
      <c r="AE33" s="227"/>
      <c r="AF33" s="225" t="s">
        <v>213</v>
      </c>
      <c r="AG33" s="229"/>
    </row>
    <row r="34">
      <c r="A34" s="225" t="s">
        <v>43</v>
      </c>
      <c r="B34" s="225" t="s">
        <v>137</v>
      </c>
      <c r="C34" s="225" t="s">
        <v>48</v>
      </c>
      <c r="D34" s="226">
        <v>26.9</v>
      </c>
      <c r="E34" s="225" t="s">
        <v>13</v>
      </c>
      <c r="F34" s="227">
        <v>77.0</v>
      </c>
      <c r="G34" s="227">
        <v>9.0</v>
      </c>
      <c r="H34" s="227">
        <v>54.0</v>
      </c>
      <c r="I34" s="227">
        <v>63.0</v>
      </c>
      <c r="J34" s="226">
        <v>0.8181818181818182</v>
      </c>
      <c r="K34" s="226">
        <v>68.72727272727273</v>
      </c>
      <c r="L34" s="227">
        <v>148.0</v>
      </c>
      <c r="M34" s="226">
        <v>1.922077922077922</v>
      </c>
      <c r="N34" s="228">
        <v>0.060810810810810814</v>
      </c>
      <c r="O34" s="227">
        <v>28.0</v>
      </c>
      <c r="P34" s="226">
        <v>0.36363636363636365</v>
      </c>
      <c r="Q34" s="225" t="s">
        <v>1342</v>
      </c>
      <c r="R34" s="228">
        <v>0.72</v>
      </c>
      <c r="S34" s="225" t="s">
        <v>1565</v>
      </c>
      <c r="T34" s="227">
        <v>30.0</v>
      </c>
      <c r="U34" s="227">
        <v>21.0</v>
      </c>
      <c r="V34" s="226">
        <v>0.2727272727272727</v>
      </c>
      <c r="W34" s="227">
        <v>132.0</v>
      </c>
      <c r="X34" s="226">
        <v>1.7142857142857142</v>
      </c>
      <c r="Y34" s="227"/>
      <c r="Z34" s="228"/>
      <c r="AA34" s="227"/>
      <c r="AB34" s="228">
        <v>0.601</v>
      </c>
      <c r="AC34" s="225"/>
      <c r="AD34" s="225"/>
      <c r="AE34" s="227"/>
      <c r="AF34" s="225" t="s">
        <v>1112</v>
      </c>
      <c r="AG34" s="229"/>
    </row>
    <row r="35">
      <c r="A35" s="225" t="s">
        <v>43</v>
      </c>
      <c r="B35" s="225" t="s">
        <v>314</v>
      </c>
      <c r="C35" s="225" t="s">
        <v>48</v>
      </c>
      <c r="D35" s="226">
        <v>24.8</v>
      </c>
      <c r="E35" s="225" t="s">
        <v>13</v>
      </c>
      <c r="F35" s="227">
        <v>70.0</v>
      </c>
      <c r="G35" s="227">
        <v>6.0</v>
      </c>
      <c r="H35" s="227">
        <v>30.0</v>
      </c>
      <c r="I35" s="227">
        <v>36.0</v>
      </c>
      <c r="J35" s="226">
        <v>0.5142857142857142</v>
      </c>
      <c r="K35" s="226">
        <v>43.199999999999996</v>
      </c>
      <c r="L35" s="227">
        <v>113.0</v>
      </c>
      <c r="M35" s="226">
        <v>1.6142857142857143</v>
      </c>
      <c r="N35" s="228">
        <v>0.05309734513274336</v>
      </c>
      <c r="O35" s="227">
        <v>7.0</v>
      </c>
      <c r="P35" s="226">
        <v>0.1</v>
      </c>
      <c r="Q35" s="225" t="s">
        <v>924</v>
      </c>
      <c r="R35" s="228">
        <v>0.33</v>
      </c>
      <c r="S35" s="225" t="s">
        <v>1566</v>
      </c>
      <c r="T35" s="227">
        <v>26.0</v>
      </c>
      <c r="U35" s="227">
        <v>39.0</v>
      </c>
      <c r="V35" s="226">
        <v>0.5571428571428572</v>
      </c>
      <c r="W35" s="227">
        <v>148.0</v>
      </c>
      <c r="X35" s="226">
        <v>2.1142857142857143</v>
      </c>
      <c r="Y35" s="227"/>
      <c r="Z35" s="228"/>
      <c r="AA35" s="227"/>
      <c r="AB35" s="228">
        <v>0.272</v>
      </c>
      <c r="AC35" s="225"/>
      <c r="AD35" s="225"/>
      <c r="AE35" s="227"/>
      <c r="AF35" s="225" t="s">
        <v>445</v>
      </c>
      <c r="AG35" s="229"/>
    </row>
    <row r="36">
      <c r="A36" s="225" t="s">
        <v>114</v>
      </c>
      <c r="B36" s="225" t="s">
        <v>1567</v>
      </c>
      <c r="C36" s="225" t="s">
        <v>48</v>
      </c>
      <c r="D36" s="226">
        <v>23.4</v>
      </c>
      <c r="E36" s="225" t="s">
        <v>13</v>
      </c>
      <c r="F36" s="227">
        <v>72.0</v>
      </c>
      <c r="G36" s="227">
        <v>9.0</v>
      </c>
      <c r="H36" s="227">
        <v>16.0</v>
      </c>
      <c r="I36" s="227">
        <v>25.0</v>
      </c>
      <c r="J36" s="226">
        <v>0.3472222222222222</v>
      </c>
      <c r="K36" s="226">
        <v>29.166666666666664</v>
      </c>
      <c r="L36" s="227">
        <v>88.0</v>
      </c>
      <c r="M36" s="226">
        <v>1.2222222222222223</v>
      </c>
      <c r="N36" s="228">
        <v>0.10227272727272728</v>
      </c>
      <c r="O36" s="227">
        <v>1.0</v>
      </c>
      <c r="P36" s="226">
        <v>0.013888888888888888</v>
      </c>
      <c r="Q36" s="225" t="s">
        <v>1560</v>
      </c>
      <c r="R36" s="228">
        <v>0.048</v>
      </c>
      <c r="S36" s="225" t="s">
        <v>1568</v>
      </c>
      <c r="T36" s="227">
        <v>75.0</v>
      </c>
      <c r="U36" s="227">
        <v>94.0</v>
      </c>
      <c r="V36" s="226">
        <v>1.3055555555555556</v>
      </c>
      <c r="W36" s="227">
        <v>148.0</v>
      </c>
      <c r="X36" s="226">
        <v>2.0555555555555554</v>
      </c>
      <c r="Y36" s="227"/>
      <c r="Z36" s="228"/>
      <c r="AA36" s="227"/>
      <c r="AB36" s="228">
        <v>0.39</v>
      </c>
      <c r="AC36" s="225"/>
      <c r="AD36" s="225"/>
      <c r="AE36" s="227"/>
      <c r="AF36" s="225" t="s">
        <v>1569</v>
      </c>
      <c r="AG36" s="229"/>
    </row>
    <row r="37">
      <c r="A37" s="225" t="s">
        <v>114</v>
      </c>
      <c r="B37" s="225" t="s">
        <v>131</v>
      </c>
      <c r="C37" s="225" t="s">
        <v>48</v>
      </c>
      <c r="D37" s="226">
        <v>25.2</v>
      </c>
      <c r="E37" s="225" t="s">
        <v>815</v>
      </c>
      <c r="F37" s="227">
        <v>82.0</v>
      </c>
      <c r="G37" s="227">
        <v>10.0</v>
      </c>
      <c r="H37" s="227">
        <v>50.0</v>
      </c>
      <c r="I37" s="227">
        <v>60.0</v>
      </c>
      <c r="J37" s="226">
        <v>0.7317073170731707</v>
      </c>
      <c r="K37" s="226">
        <v>61.46341463414634</v>
      </c>
      <c r="L37" s="227">
        <v>187.0</v>
      </c>
      <c r="M37" s="226">
        <v>2.2804878048780486</v>
      </c>
      <c r="N37" s="228">
        <v>0.053475935828877004</v>
      </c>
      <c r="O37" s="227">
        <v>28.0</v>
      </c>
      <c r="P37" s="226">
        <v>0.34146341463414637</v>
      </c>
      <c r="Q37" s="225" t="s">
        <v>816</v>
      </c>
      <c r="R37" s="228">
        <v>0.644</v>
      </c>
      <c r="S37" s="225" t="s">
        <v>1570</v>
      </c>
      <c r="T37" s="227">
        <v>57.0</v>
      </c>
      <c r="U37" s="227">
        <v>128.0</v>
      </c>
      <c r="V37" s="226">
        <v>1.5609756097560976</v>
      </c>
      <c r="W37" s="227">
        <v>180.0</v>
      </c>
      <c r="X37" s="226">
        <v>2.1951219512195124</v>
      </c>
      <c r="Y37" s="227"/>
      <c r="Z37" s="228"/>
      <c r="AA37" s="227"/>
      <c r="AB37" s="228">
        <v>0.386</v>
      </c>
      <c r="AC37" s="225"/>
      <c r="AD37" s="225"/>
      <c r="AE37" s="227"/>
      <c r="AF37" s="225" t="s">
        <v>1571</v>
      </c>
      <c r="AG37" s="229"/>
    </row>
    <row r="38">
      <c r="A38" s="225" t="s">
        <v>114</v>
      </c>
      <c r="B38" s="225" t="s">
        <v>443</v>
      </c>
      <c r="C38" s="225" t="s">
        <v>48</v>
      </c>
      <c r="D38" s="226">
        <v>34.2</v>
      </c>
      <c r="E38" s="225" t="s">
        <v>815</v>
      </c>
      <c r="F38" s="227">
        <v>78.0</v>
      </c>
      <c r="G38" s="227">
        <v>16.0</v>
      </c>
      <c r="H38" s="227">
        <v>24.0</v>
      </c>
      <c r="I38" s="227">
        <v>40.0</v>
      </c>
      <c r="J38" s="226">
        <v>0.5128205128205128</v>
      </c>
      <c r="K38" s="226">
        <v>43.07692307692307</v>
      </c>
      <c r="L38" s="227">
        <v>148.0</v>
      </c>
      <c r="M38" s="226">
        <v>1.8974358974358974</v>
      </c>
      <c r="N38" s="228">
        <v>0.10810810810810811</v>
      </c>
      <c r="O38" s="227">
        <v>9.0</v>
      </c>
      <c r="P38" s="226">
        <v>0.11538461538461539</v>
      </c>
      <c r="Q38" s="225" t="s">
        <v>981</v>
      </c>
      <c r="R38" s="228">
        <v>0.42200000000000004</v>
      </c>
      <c r="S38" s="225" t="s">
        <v>1572</v>
      </c>
      <c r="T38" s="227">
        <v>42.0</v>
      </c>
      <c r="U38" s="227">
        <v>70.0</v>
      </c>
      <c r="V38" s="226">
        <v>0.8974358974358975</v>
      </c>
      <c r="W38" s="227">
        <v>132.0</v>
      </c>
      <c r="X38" s="226">
        <v>1.6923076923076923</v>
      </c>
      <c r="Y38" s="227"/>
      <c r="Z38" s="228"/>
      <c r="AA38" s="227"/>
      <c r="AB38" s="228">
        <v>0.35</v>
      </c>
      <c r="AC38" s="225"/>
      <c r="AD38" s="225"/>
      <c r="AE38" s="227"/>
      <c r="AF38" s="225" t="s">
        <v>288</v>
      </c>
      <c r="AG38" s="229"/>
    </row>
    <row r="39">
      <c r="A39" s="225" t="s">
        <v>114</v>
      </c>
      <c r="B39" s="225" t="s">
        <v>646</v>
      </c>
      <c r="C39" s="225" t="s">
        <v>48</v>
      </c>
      <c r="D39" s="226">
        <v>21.3</v>
      </c>
      <c r="E39" s="225" t="s">
        <v>815</v>
      </c>
      <c r="F39" s="227">
        <v>68.0</v>
      </c>
      <c r="G39" s="227">
        <v>7.0</v>
      </c>
      <c r="H39" s="227">
        <v>14.0</v>
      </c>
      <c r="I39" s="227">
        <v>21.0</v>
      </c>
      <c r="J39" s="226">
        <v>0.3088235294117647</v>
      </c>
      <c r="K39" s="226">
        <v>25.941176470588236</v>
      </c>
      <c r="L39" s="227">
        <v>68.0</v>
      </c>
      <c r="M39" s="226">
        <v>1.0</v>
      </c>
      <c r="N39" s="228">
        <v>0.10294117647058823</v>
      </c>
      <c r="O39" s="227">
        <v>7.0</v>
      </c>
      <c r="P39" s="226">
        <v>0.10294117647058823</v>
      </c>
      <c r="Q39" s="225" t="s">
        <v>918</v>
      </c>
      <c r="R39" s="228">
        <v>0.34600000000000003</v>
      </c>
      <c r="S39" s="225" t="s">
        <v>1573</v>
      </c>
      <c r="T39" s="227">
        <v>18.0</v>
      </c>
      <c r="U39" s="227">
        <v>17.0</v>
      </c>
      <c r="V39" s="226">
        <v>0.25</v>
      </c>
      <c r="W39" s="227">
        <v>54.0</v>
      </c>
      <c r="X39" s="226">
        <v>0.7941176470588235</v>
      </c>
      <c r="Y39" s="227"/>
      <c r="Z39" s="228"/>
      <c r="AA39" s="227"/>
      <c r="AB39" s="228">
        <v>0.069</v>
      </c>
      <c r="AC39" s="225"/>
      <c r="AD39" s="225"/>
      <c r="AE39" s="227"/>
      <c r="AF39" s="225" t="s">
        <v>1574</v>
      </c>
      <c r="AG39" s="229"/>
    </row>
    <row r="40">
      <c r="A40" s="225" t="s">
        <v>49</v>
      </c>
      <c r="B40" s="225" t="s">
        <v>427</v>
      </c>
      <c r="C40" s="225" t="s">
        <v>48</v>
      </c>
      <c r="D40" s="226">
        <v>36.1</v>
      </c>
      <c r="E40" s="225" t="s">
        <v>13</v>
      </c>
      <c r="F40" s="227">
        <v>82.0</v>
      </c>
      <c r="G40" s="227">
        <v>6.0</v>
      </c>
      <c r="H40" s="227">
        <v>35.0</v>
      </c>
      <c r="I40" s="227">
        <v>41.0</v>
      </c>
      <c r="J40" s="226">
        <v>0.5</v>
      </c>
      <c r="K40" s="226">
        <v>42.0</v>
      </c>
      <c r="L40" s="227">
        <v>131.0</v>
      </c>
      <c r="M40" s="226">
        <v>1.5975609756097562</v>
      </c>
      <c r="N40" s="228">
        <v>0.04580152671755725</v>
      </c>
      <c r="O40" s="227">
        <v>3.0</v>
      </c>
      <c r="P40" s="226">
        <v>0.036585365853658534</v>
      </c>
      <c r="Q40" s="225" t="s">
        <v>1575</v>
      </c>
      <c r="R40" s="228">
        <v>0.12</v>
      </c>
      <c r="S40" s="225" t="s">
        <v>1576</v>
      </c>
      <c r="T40" s="227">
        <v>30.0</v>
      </c>
      <c r="U40" s="227">
        <v>65.0</v>
      </c>
      <c r="V40" s="226">
        <v>0.7926829268292683</v>
      </c>
      <c r="W40" s="227">
        <v>125.0</v>
      </c>
      <c r="X40" s="226">
        <v>1.524390243902439</v>
      </c>
      <c r="Y40" s="227"/>
      <c r="Z40" s="228"/>
      <c r="AA40" s="227"/>
      <c r="AB40" s="228">
        <v>0.395</v>
      </c>
      <c r="AC40" s="225"/>
      <c r="AD40" s="225"/>
      <c r="AE40" s="227"/>
      <c r="AF40" s="225" t="s">
        <v>469</v>
      </c>
      <c r="AG40" s="229"/>
    </row>
    <row r="41">
      <c r="A41" s="225" t="s">
        <v>49</v>
      </c>
      <c r="B41" s="225" t="s">
        <v>45</v>
      </c>
      <c r="C41" s="225" t="s">
        <v>48</v>
      </c>
      <c r="D41" s="226">
        <v>26.7</v>
      </c>
      <c r="E41" s="225" t="s">
        <v>815</v>
      </c>
      <c r="F41" s="227">
        <v>82.0</v>
      </c>
      <c r="G41" s="227">
        <v>21.0</v>
      </c>
      <c r="H41" s="227">
        <v>74.0</v>
      </c>
      <c r="I41" s="227">
        <v>95.0</v>
      </c>
      <c r="J41" s="226">
        <v>1.1585365853658536</v>
      </c>
      <c r="K41" s="226">
        <v>97.3170731707317</v>
      </c>
      <c r="L41" s="227">
        <v>221.0</v>
      </c>
      <c r="M41" s="226">
        <v>2.6951219512195124</v>
      </c>
      <c r="N41" s="228">
        <v>0.09502262443438914</v>
      </c>
      <c r="O41" s="227">
        <v>33.0</v>
      </c>
      <c r="P41" s="226">
        <v>0.4024390243902439</v>
      </c>
      <c r="Q41" s="225" t="s">
        <v>1484</v>
      </c>
      <c r="R41" s="228">
        <v>0.87</v>
      </c>
      <c r="S41" s="225" t="s">
        <v>1577</v>
      </c>
      <c r="T41" s="227">
        <v>30.0</v>
      </c>
      <c r="U41" s="227">
        <v>29.0</v>
      </c>
      <c r="V41" s="226">
        <v>0.35365853658536583</v>
      </c>
      <c r="W41" s="227">
        <v>101.0</v>
      </c>
      <c r="X41" s="226">
        <v>1.2317073170731707</v>
      </c>
      <c r="Y41" s="227"/>
      <c r="Z41" s="228"/>
      <c r="AA41" s="227"/>
      <c r="AB41" s="228">
        <v>0.41100000000000003</v>
      </c>
      <c r="AC41" s="225"/>
      <c r="AD41" s="225"/>
      <c r="AE41" s="227"/>
      <c r="AF41" s="225" t="s">
        <v>963</v>
      </c>
      <c r="AG41" s="229"/>
    </row>
    <row r="42">
      <c r="A42" s="225" t="s">
        <v>49</v>
      </c>
      <c r="B42" s="225" t="s">
        <v>485</v>
      </c>
      <c r="C42" s="225" t="s">
        <v>48</v>
      </c>
      <c r="D42" s="226">
        <v>29.3</v>
      </c>
      <c r="E42" s="225" t="s">
        <v>13</v>
      </c>
      <c r="F42" s="227">
        <v>80.0</v>
      </c>
      <c r="G42" s="227">
        <v>6.0</v>
      </c>
      <c r="H42" s="227">
        <v>29.0</v>
      </c>
      <c r="I42" s="227">
        <v>35.0</v>
      </c>
      <c r="J42" s="226">
        <v>0.4375</v>
      </c>
      <c r="K42" s="226">
        <v>36.75</v>
      </c>
      <c r="L42" s="227">
        <v>72.0</v>
      </c>
      <c r="M42" s="226">
        <v>0.9</v>
      </c>
      <c r="N42" s="228">
        <v>0.08333333333333333</v>
      </c>
      <c r="O42" s="227">
        <v>0.0</v>
      </c>
      <c r="P42" s="226">
        <v>0.0</v>
      </c>
      <c r="Q42" s="225" t="s">
        <v>1401</v>
      </c>
      <c r="R42" s="228">
        <v>0.036000000000000004</v>
      </c>
      <c r="S42" s="225" t="s">
        <v>943</v>
      </c>
      <c r="T42" s="227">
        <v>22.0</v>
      </c>
      <c r="U42" s="227">
        <v>38.0</v>
      </c>
      <c r="V42" s="226">
        <v>0.475</v>
      </c>
      <c r="W42" s="227">
        <v>92.0</v>
      </c>
      <c r="X42" s="226">
        <v>1.15</v>
      </c>
      <c r="Y42" s="227"/>
      <c r="Z42" s="228"/>
      <c r="AA42" s="227"/>
      <c r="AB42" s="228">
        <v>0.469</v>
      </c>
      <c r="AC42" s="225"/>
      <c r="AD42" s="225"/>
      <c r="AE42" s="227"/>
      <c r="AF42" s="225" t="s">
        <v>1528</v>
      </c>
      <c r="AG42" s="229"/>
    </row>
    <row r="43">
      <c r="A43" s="225" t="s">
        <v>49</v>
      </c>
      <c r="B43" s="225" t="s">
        <v>542</v>
      </c>
      <c r="C43" s="225" t="s">
        <v>48</v>
      </c>
      <c r="D43" s="226">
        <v>30.3</v>
      </c>
      <c r="E43" s="225" t="s">
        <v>13</v>
      </c>
      <c r="F43" s="227">
        <v>53.0</v>
      </c>
      <c r="G43" s="227">
        <v>8.0</v>
      </c>
      <c r="H43" s="227">
        <v>12.0</v>
      </c>
      <c r="I43" s="227">
        <v>20.0</v>
      </c>
      <c r="J43" s="226">
        <v>0.37735849056603776</v>
      </c>
      <c r="K43" s="226">
        <v>31.698113207547173</v>
      </c>
      <c r="L43" s="227">
        <v>96.0</v>
      </c>
      <c r="M43" s="226">
        <v>1.8113207547169812</v>
      </c>
      <c r="N43" s="228">
        <v>0.08333333333333333</v>
      </c>
      <c r="O43" s="227">
        <v>2.0</v>
      </c>
      <c r="P43" s="226">
        <v>0.03773584905660377</v>
      </c>
      <c r="Q43" s="225" t="s">
        <v>1578</v>
      </c>
      <c r="R43" s="228">
        <v>0.171</v>
      </c>
      <c r="S43" s="225" t="s">
        <v>1579</v>
      </c>
      <c r="T43" s="227">
        <v>10.0</v>
      </c>
      <c r="U43" s="227">
        <v>15.0</v>
      </c>
      <c r="V43" s="226">
        <v>0.2830188679245283</v>
      </c>
      <c r="W43" s="227">
        <v>90.0</v>
      </c>
      <c r="X43" s="226">
        <v>1.6981132075471699</v>
      </c>
      <c r="Y43" s="227"/>
      <c r="Z43" s="228"/>
      <c r="AA43" s="227"/>
      <c r="AB43" s="228">
        <v>0.239</v>
      </c>
      <c r="AC43" s="225"/>
      <c r="AD43" s="225"/>
      <c r="AE43" s="227"/>
      <c r="AF43" s="225" t="s">
        <v>325</v>
      </c>
      <c r="AG43" s="229"/>
    </row>
    <row r="44">
      <c r="A44" s="225" t="s">
        <v>181</v>
      </c>
      <c r="B44" s="225" t="s">
        <v>535</v>
      </c>
      <c r="C44" s="225" t="s">
        <v>48</v>
      </c>
      <c r="D44" s="226">
        <v>30.0</v>
      </c>
      <c r="E44" s="225" t="s">
        <v>13</v>
      </c>
      <c r="F44" s="227">
        <v>80.0</v>
      </c>
      <c r="G44" s="227">
        <v>2.0</v>
      </c>
      <c r="H44" s="227">
        <v>26.0</v>
      </c>
      <c r="I44" s="227">
        <v>28.0</v>
      </c>
      <c r="J44" s="226">
        <v>0.35</v>
      </c>
      <c r="K44" s="226">
        <v>29.4</v>
      </c>
      <c r="L44" s="227">
        <v>112.0</v>
      </c>
      <c r="M44" s="226">
        <v>1.4</v>
      </c>
      <c r="N44" s="228">
        <v>0.017857142857142856</v>
      </c>
      <c r="O44" s="227">
        <v>2.0</v>
      </c>
      <c r="P44" s="226">
        <v>0.025</v>
      </c>
      <c r="Q44" s="225" t="s">
        <v>1580</v>
      </c>
      <c r="R44" s="228">
        <v>0.11</v>
      </c>
      <c r="S44" s="225" t="s">
        <v>1581</v>
      </c>
      <c r="T44" s="227">
        <v>51.0</v>
      </c>
      <c r="U44" s="227">
        <v>52.0</v>
      </c>
      <c r="V44" s="226">
        <v>0.65</v>
      </c>
      <c r="W44" s="227">
        <v>98.0</v>
      </c>
      <c r="X44" s="226">
        <v>1.225</v>
      </c>
      <c r="Y44" s="227"/>
      <c r="Z44" s="228"/>
      <c r="AA44" s="227"/>
      <c r="AB44" s="228">
        <v>0.569</v>
      </c>
      <c r="AC44" s="225"/>
      <c r="AD44" s="225"/>
      <c r="AE44" s="227"/>
      <c r="AF44" s="225" t="s">
        <v>856</v>
      </c>
      <c r="AG44" s="229"/>
    </row>
    <row r="45">
      <c r="A45" s="225" t="s">
        <v>181</v>
      </c>
      <c r="B45" s="225" t="s">
        <v>539</v>
      </c>
      <c r="C45" s="225" t="s">
        <v>48</v>
      </c>
      <c r="D45" s="226">
        <v>30.4</v>
      </c>
      <c r="E45" s="225" t="s">
        <v>815</v>
      </c>
      <c r="F45" s="227">
        <v>72.0</v>
      </c>
      <c r="G45" s="227">
        <v>4.0</v>
      </c>
      <c r="H45" s="227">
        <v>22.0</v>
      </c>
      <c r="I45" s="227">
        <v>26.0</v>
      </c>
      <c r="J45" s="226">
        <v>0.3611111111111111</v>
      </c>
      <c r="K45" s="226">
        <v>30.333333333333332</v>
      </c>
      <c r="L45" s="227">
        <v>97.0</v>
      </c>
      <c r="M45" s="226">
        <v>1.3472222222222223</v>
      </c>
      <c r="N45" s="228">
        <v>0.041237113402061855</v>
      </c>
      <c r="O45" s="227">
        <v>5.0</v>
      </c>
      <c r="P45" s="226">
        <v>0.06944444444444445</v>
      </c>
      <c r="Q45" s="225" t="s">
        <v>954</v>
      </c>
      <c r="R45" s="228">
        <v>0.39399999999999996</v>
      </c>
      <c r="S45" s="225" t="s">
        <v>1582</v>
      </c>
      <c r="T45" s="227">
        <v>55.0</v>
      </c>
      <c r="U45" s="227">
        <v>84.0</v>
      </c>
      <c r="V45" s="226">
        <v>1.1666666666666667</v>
      </c>
      <c r="W45" s="227">
        <v>103.0</v>
      </c>
      <c r="X45" s="226">
        <v>1.4305555555555556</v>
      </c>
      <c r="Y45" s="227"/>
      <c r="Z45" s="228"/>
      <c r="AA45" s="227"/>
      <c r="AB45" s="228">
        <v>0.516</v>
      </c>
      <c r="AC45" s="225"/>
      <c r="AD45" s="225"/>
      <c r="AE45" s="227"/>
      <c r="AF45" s="225" t="s">
        <v>1583</v>
      </c>
      <c r="AG45" s="229"/>
    </row>
    <row r="46">
      <c r="A46" s="225" t="s">
        <v>181</v>
      </c>
      <c r="B46" s="225" t="s">
        <v>277</v>
      </c>
      <c r="C46" s="225" t="s">
        <v>48</v>
      </c>
      <c r="D46" s="226">
        <v>31.7</v>
      </c>
      <c r="E46" s="225" t="s">
        <v>815</v>
      </c>
      <c r="F46" s="227">
        <v>52.0</v>
      </c>
      <c r="G46" s="227">
        <v>7.0</v>
      </c>
      <c r="H46" s="227">
        <v>25.0</v>
      </c>
      <c r="I46" s="227">
        <v>32.0</v>
      </c>
      <c r="J46" s="226">
        <v>0.6153846153846154</v>
      </c>
      <c r="K46" s="226">
        <v>51.69230769230769</v>
      </c>
      <c r="L46" s="227">
        <v>88.0</v>
      </c>
      <c r="M46" s="226">
        <v>1.6923076923076923</v>
      </c>
      <c r="N46" s="228">
        <v>0.07954545454545454</v>
      </c>
      <c r="O46" s="227">
        <v>16.0</v>
      </c>
      <c r="P46" s="226">
        <v>0.3076923076923077</v>
      </c>
      <c r="Q46" s="225" t="s">
        <v>1314</v>
      </c>
      <c r="R46" s="228">
        <v>0.636</v>
      </c>
      <c r="S46" s="225" t="s">
        <v>1584</v>
      </c>
      <c r="T46" s="227">
        <v>18.0</v>
      </c>
      <c r="U46" s="227">
        <v>47.0</v>
      </c>
      <c r="V46" s="226">
        <v>0.9038461538461539</v>
      </c>
      <c r="W46" s="227">
        <v>61.0</v>
      </c>
      <c r="X46" s="226">
        <v>1.1730769230769231</v>
      </c>
      <c r="Y46" s="227"/>
      <c r="Z46" s="228"/>
      <c r="AA46" s="227"/>
      <c r="AB46" s="228">
        <v>0.414</v>
      </c>
      <c r="AC46" s="225"/>
      <c r="AD46" s="225"/>
      <c r="AE46" s="227"/>
      <c r="AF46" s="225" t="s">
        <v>51</v>
      </c>
      <c r="AG46" s="229"/>
    </row>
    <row r="47">
      <c r="A47" s="225" t="s">
        <v>181</v>
      </c>
      <c r="B47" s="225" t="s">
        <v>678</v>
      </c>
      <c r="C47" s="225" t="s">
        <v>48</v>
      </c>
      <c r="D47" s="226">
        <v>29.9</v>
      </c>
      <c r="E47" s="225" t="s">
        <v>13</v>
      </c>
      <c r="F47" s="227">
        <v>54.0</v>
      </c>
      <c r="G47" s="227">
        <v>5.0</v>
      </c>
      <c r="H47" s="227">
        <v>10.0</v>
      </c>
      <c r="I47" s="227">
        <v>15.0</v>
      </c>
      <c r="J47" s="226">
        <v>0.2777777777777778</v>
      </c>
      <c r="K47" s="226">
        <v>23.333333333333336</v>
      </c>
      <c r="L47" s="227">
        <v>66.0</v>
      </c>
      <c r="M47" s="226">
        <v>1.2222222222222223</v>
      </c>
      <c r="N47" s="228">
        <v>0.07575757575757576</v>
      </c>
      <c r="O47" s="227">
        <v>6.0</v>
      </c>
      <c r="P47" s="226">
        <v>0.1111111111111111</v>
      </c>
      <c r="Q47" s="225" t="s">
        <v>985</v>
      </c>
      <c r="R47" s="228">
        <v>0.21100000000000002</v>
      </c>
      <c r="S47" s="225" t="s">
        <v>925</v>
      </c>
      <c r="T47" s="227">
        <v>30.0</v>
      </c>
      <c r="U47" s="227">
        <v>71.0</v>
      </c>
      <c r="V47" s="226">
        <v>1.3148148148148149</v>
      </c>
      <c r="W47" s="227">
        <v>42.0</v>
      </c>
      <c r="X47" s="226">
        <v>0.7777777777777778</v>
      </c>
      <c r="Y47" s="227"/>
      <c r="Z47" s="228"/>
      <c r="AA47" s="227"/>
      <c r="AB47" s="228">
        <v>0.086</v>
      </c>
      <c r="AC47" s="225"/>
      <c r="AD47" s="225"/>
      <c r="AE47" s="227"/>
      <c r="AF47" s="225" t="s">
        <v>340</v>
      </c>
      <c r="AG47" s="229"/>
    </row>
    <row r="48">
      <c r="A48" s="225" t="s">
        <v>255</v>
      </c>
      <c r="B48" s="225" t="s">
        <v>616</v>
      </c>
      <c r="C48" s="225" t="s">
        <v>48</v>
      </c>
      <c r="D48" s="226">
        <v>36.5</v>
      </c>
      <c r="E48" s="225" t="s">
        <v>815</v>
      </c>
      <c r="F48" s="227">
        <v>72.0</v>
      </c>
      <c r="G48" s="227">
        <v>5.0</v>
      </c>
      <c r="H48" s="227">
        <v>18.0</v>
      </c>
      <c r="I48" s="227">
        <v>23.0</v>
      </c>
      <c r="J48" s="226">
        <v>0.3194444444444444</v>
      </c>
      <c r="K48" s="226">
        <v>26.833333333333332</v>
      </c>
      <c r="L48" s="227">
        <v>101.0</v>
      </c>
      <c r="M48" s="226">
        <v>1.4027777777777777</v>
      </c>
      <c r="N48" s="228">
        <v>0.04950495049504951</v>
      </c>
      <c r="O48" s="227">
        <v>1.0</v>
      </c>
      <c r="P48" s="226">
        <v>0.013888888888888888</v>
      </c>
      <c r="Q48" s="225" t="s">
        <v>1206</v>
      </c>
      <c r="R48" s="228">
        <v>0.37200000000000005</v>
      </c>
      <c r="S48" s="225" t="s">
        <v>1585</v>
      </c>
      <c r="T48" s="227">
        <v>40.0</v>
      </c>
      <c r="U48" s="227">
        <v>52.0</v>
      </c>
      <c r="V48" s="226">
        <v>0.7222222222222222</v>
      </c>
      <c r="W48" s="227">
        <v>76.0</v>
      </c>
      <c r="X48" s="226">
        <v>1.0555555555555556</v>
      </c>
      <c r="Y48" s="227"/>
      <c r="Z48" s="228"/>
      <c r="AA48" s="227"/>
      <c r="AB48" s="228">
        <v>0.27</v>
      </c>
      <c r="AC48" s="225"/>
      <c r="AD48" s="225"/>
      <c r="AE48" s="227"/>
      <c r="AF48" s="225" t="s">
        <v>1343</v>
      </c>
      <c r="AG48" s="229"/>
    </row>
    <row r="49">
      <c r="A49" s="225" t="s">
        <v>255</v>
      </c>
      <c r="B49" s="225" t="s">
        <v>253</v>
      </c>
      <c r="C49" s="225" t="s">
        <v>48</v>
      </c>
      <c r="D49" s="226">
        <v>23.4</v>
      </c>
      <c r="E49" s="225" t="s">
        <v>815</v>
      </c>
      <c r="F49" s="227">
        <v>82.0</v>
      </c>
      <c r="G49" s="227">
        <v>8.0</v>
      </c>
      <c r="H49" s="227">
        <v>32.0</v>
      </c>
      <c r="I49" s="227">
        <v>40.0</v>
      </c>
      <c r="J49" s="226">
        <v>0.4878048780487805</v>
      </c>
      <c r="K49" s="226">
        <v>40.97560975609756</v>
      </c>
      <c r="L49" s="227">
        <v>159.0</v>
      </c>
      <c r="M49" s="226">
        <v>1.9390243902439024</v>
      </c>
      <c r="N49" s="228">
        <v>0.050314465408805034</v>
      </c>
      <c r="O49" s="227">
        <v>13.0</v>
      </c>
      <c r="P49" s="226">
        <v>0.15853658536585366</v>
      </c>
      <c r="Q49" s="225" t="s">
        <v>1586</v>
      </c>
      <c r="R49" s="228">
        <v>0.503</v>
      </c>
      <c r="S49" s="225" t="s">
        <v>1587</v>
      </c>
      <c r="T49" s="227">
        <v>63.0</v>
      </c>
      <c r="U49" s="227">
        <v>30.0</v>
      </c>
      <c r="V49" s="226">
        <v>0.36585365853658536</v>
      </c>
      <c r="W49" s="227">
        <v>185.0</v>
      </c>
      <c r="X49" s="226">
        <v>2.2560975609756095</v>
      </c>
      <c r="Y49" s="227"/>
      <c r="Z49" s="228"/>
      <c r="AA49" s="227"/>
      <c r="AB49" s="228">
        <v>0.006999999999999999</v>
      </c>
      <c r="AC49" s="225"/>
      <c r="AD49" s="225"/>
      <c r="AE49" s="227"/>
      <c r="AF49" s="225" t="s">
        <v>1588</v>
      </c>
      <c r="AG49" s="229"/>
    </row>
    <row r="50">
      <c r="A50" s="225" t="s">
        <v>54</v>
      </c>
      <c r="B50" s="225" t="s">
        <v>53</v>
      </c>
      <c r="C50" s="225" t="s">
        <v>48</v>
      </c>
      <c r="D50" s="226">
        <v>26.7</v>
      </c>
      <c r="E50" s="225" t="s">
        <v>13</v>
      </c>
      <c r="F50" s="227">
        <v>74.0</v>
      </c>
      <c r="G50" s="227">
        <v>7.0</v>
      </c>
      <c r="H50" s="227">
        <v>69.0</v>
      </c>
      <c r="I50" s="227">
        <v>76.0</v>
      </c>
      <c r="J50" s="226">
        <v>1.027027027027027</v>
      </c>
      <c r="K50" s="226">
        <v>86.27027027027026</v>
      </c>
      <c r="L50" s="227">
        <v>187.0</v>
      </c>
      <c r="M50" s="226">
        <v>2.527027027027027</v>
      </c>
      <c r="N50" s="228">
        <v>0.0374331550802139</v>
      </c>
      <c r="O50" s="227">
        <v>34.0</v>
      </c>
      <c r="P50" s="226">
        <v>0.4594594594594595</v>
      </c>
      <c r="Q50" s="225" t="s">
        <v>1168</v>
      </c>
      <c r="R50" s="228">
        <v>0.8340000000000001</v>
      </c>
      <c r="S50" s="225" t="s">
        <v>1589</v>
      </c>
      <c r="T50" s="227">
        <v>32.0</v>
      </c>
      <c r="U50" s="227">
        <v>7.0</v>
      </c>
      <c r="V50" s="226">
        <v>0.0945945945945946</v>
      </c>
      <c r="W50" s="227">
        <v>87.0</v>
      </c>
      <c r="X50" s="226">
        <v>1.1756756756756757</v>
      </c>
      <c r="Y50" s="227"/>
      <c r="Z50" s="228"/>
      <c r="AA50" s="227"/>
      <c r="AB50" s="228">
        <v>0.023</v>
      </c>
      <c r="AC50" s="225"/>
      <c r="AD50" s="225"/>
      <c r="AE50" s="227"/>
      <c r="AF50" s="225" t="s">
        <v>1250</v>
      </c>
      <c r="AG50" s="229"/>
    </row>
    <row r="51">
      <c r="A51" s="225" t="s">
        <v>54</v>
      </c>
      <c r="B51" s="225" t="s">
        <v>650</v>
      </c>
      <c r="C51" s="225" t="s">
        <v>48</v>
      </c>
      <c r="D51" s="226">
        <v>36.5</v>
      </c>
      <c r="E51" s="225" t="s">
        <v>815</v>
      </c>
      <c r="F51" s="227">
        <v>79.0</v>
      </c>
      <c r="G51" s="227">
        <v>6.0</v>
      </c>
      <c r="H51" s="227">
        <v>16.0</v>
      </c>
      <c r="I51" s="227">
        <v>22.0</v>
      </c>
      <c r="J51" s="226">
        <v>0.27848101265822783</v>
      </c>
      <c r="K51" s="226">
        <v>23.39240506329114</v>
      </c>
      <c r="L51" s="227">
        <v>90.0</v>
      </c>
      <c r="M51" s="226">
        <v>1.139240506329114</v>
      </c>
      <c r="N51" s="228">
        <v>0.06666666666666667</v>
      </c>
      <c r="O51" s="227">
        <v>6.0</v>
      </c>
      <c r="P51" s="226">
        <v>0.0759493670886076</v>
      </c>
      <c r="Q51" s="225" t="s">
        <v>1213</v>
      </c>
      <c r="R51" s="228">
        <v>0.284</v>
      </c>
      <c r="S51" s="225" t="s">
        <v>1590</v>
      </c>
      <c r="T51" s="227">
        <v>14.0</v>
      </c>
      <c r="U51" s="227">
        <v>82.0</v>
      </c>
      <c r="V51" s="226">
        <v>1.0379746835443038</v>
      </c>
      <c r="W51" s="227">
        <v>137.0</v>
      </c>
      <c r="X51" s="226">
        <v>1.7341772151898733</v>
      </c>
      <c r="Y51" s="227"/>
      <c r="Z51" s="228"/>
      <c r="AA51" s="227"/>
      <c r="AB51" s="228">
        <v>0.405</v>
      </c>
      <c r="AC51" s="225"/>
      <c r="AD51" s="225"/>
      <c r="AE51" s="227"/>
      <c r="AF51" s="225" t="s">
        <v>1591</v>
      </c>
      <c r="AG51" s="229"/>
    </row>
    <row r="52">
      <c r="A52" s="225" t="s">
        <v>54</v>
      </c>
      <c r="B52" s="225" t="s">
        <v>282</v>
      </c>
      <c r="C52" s="225" t="s">
        <v>48</v>
      </c>
      <c r="D52" s="226">
        <v>23.8</v>
      </c>
      <c r="E52" s="225" t="s">
        <v>815</v>
      </c>
      <c r="F52" s="227">
        <v>80.0</v>
      </c>
      <c r="G52" s="227">
        <v>15.0</v>
      </c>
      <c r="H52" s="227">
        <v>36.0</v>
      </c>
      <c r="I52" s="227">
        <v>51.0</v>
      </c>
      <c r="J52" s="226">
        <v>0.6375</v>
      </c>
      <c r="K52" s="226">
        <v>53.55</v>
      </c>
      <c r="L52" s="227">
        <v>173.0</v>
      </c>
      <c r="M52" s="226">
        <v>2.1625</v>
      </c>
      <c r="N52" s="228">
        <v>0.08670520231213873</v>
      </c>
      <c r="O52" s="227">
        <v>11.0</v>
      </c>
      <c r="P52" s="226">
        <v>0.1375</v>
      </c>
      <c r="Q52" s="225" t="s">
        <v>1592</v>
      </c>
      <c r="R52" s="228">
        <v>0.209</v>
      </c>
      <c r="S52" s="225" t="s">
        <v>1577</v>
      </c>
      <c r="T52" s="227">
        <v>39.0</v>
      </c>
      <c r="U52" s="227">
        <v>33.0</v>
      </c>
      <c r="V52" s="226">
        <v>0.4125</v>
      </c>
      <c r="W52" s="227">
        <v>148.0</v>
      </c>
      <c r="X52" s="226">
        <v>1.85</v>
      </c>
      <c r="Y52" s="227"/>
      <c r="Z52" s="228"/>
      <c r="AA52" s="227"/>
      <c r="AB52" s="228">
        <v>0.5660000000000001</v>
      </c>
      <c r="AC52" s="225"/>
      <c r="AD52" s="225"/>
      <c r="AE52" s="227"/>
      <c r="AF52" s="225" t="s">
        <v>79</v>
      </c>
      <c r="AG52" s="229"/>
    </row>
    <row r="53">
      <c r="A53" s="225" t="s">
        <v>109</v>
      </c>
      <c r="B53" s="225" t="s">
        <v>547</v>
      </c>
      <c r="C53" s="225" t="s">
        <v>48</v>
      </c>
      <c r="D53" s="226">
        <v>32.3</v>
      </c>
      <c r="E53" s="225" t="s">
        <v>13</v>
      </c>
      <c r="F53" s="227">
        <v>78.0</v>
      </c>
      <c r="G53" s="227">
        <v>7.0</v>
      </c>
      <c r="H53" s="227">
        <v>30.0</v>
      </c>
      <c r="I53" s="227">
        <v>37.0</v>
      </c>
      <c r="J53" s="226">
        <v>0.47435897435897434</v>
      </c>
      <c r="K53" s="226">
        <v>39.84615384615385</v>
      </c>
      <c r="L53" s="227">
        <v>114.0</v>
      </c>
      <c r="M53" s="226">
        <v>1.4615384615384615</v>
      </c>
      <c r="N53" s="228">
        <v>0.06140350877192982</v>
      </c>
      <c r="O53" s="227">
        <v>1.0</v>
      </c>
      <c r="P53" s="226">
        <v>0.01282051282051282</v>
      </c>
      <c r="Q53" s="225" t="s">
        <v>1024</v>
      </c>
      <c r="R53" s="228">
        <v>0.057</v>
      </c>
      <c r="S53" s="225" t="s">
        <v>1593</v>
      </c>
      <c r="T53" s="227">
        <v>34.0</v>
      </c>
      <c r="U53" s="227">
        <v>59.0</v>
      </c>
      <c r="V53" s="226">
        <v>0.7564102564102564</v>
      </c>
      <c r="W53" s="227">
        <v>150.0</v>
      </c>
      <c r="X53" s="226">
        <v>1.9230769230769231</v>
      </c>
      <c r="Y53" s="227"/>
      <c r="Z53" s="228"/>
      <c r="AA53" s="227"/>
      <c r="AB53" s="228">
        <v>0.7709999999999999</v>
      </c>
      <c r="AC53" s="225"/>
      <c r="AD53" s="225"/>
      <c r="AE53" s="227"/>
      <c r="AF53" s="225" t="s">
        <v>1594</v>
      </c>
      <c r="AG53" s="229"/>
    </row>
    <row r="54">
      <c r="A54" s="225" t="s">
        <v>109</v>
      </c>
      <c r="B54" s="225" t="s">
        <v>298</v>
      </c>
      <c r="C54" s="225" t="s">
        <v>48</v>
      </c>
      <c r="D54" s="226">
        <v>26.4</v>
      </c>
      <c r="E54" s="225" t="s">
        <v>815</v>
      </c>
      <c r="F54" s="227">
        <v>80.0</v>
      </c>
      <c r="G54" s="227">
        <v>12.0</v>
      </c>
      <c r="H54" s="227">
        <v>35.0</v>
      </c>
      <c r="I54" s="227">
        <v>47.0</v>
      </c>
      <c r="J54" s="226">
        <v>0.5875</v>
      </c>
      <c r="K54" s="226">
        <v>49.35</v>
      </c>
      <c r="L54" s="227">
        <v>158.0</v>
      </c>
      <c r="M54" s="226">
        <v>1.975</v>
      </c>
      <c r="N54" s="228">
        <v>0.0759493670886076</v>
      </c>
      <c r="O54" s="227">
        <v>7.0</v>
      </c>
      <c r="P54" s="226">
        <v>0.0875</v>
      </c>
      <c r="Q54" s="225" t="s">
        <v>1595</v>
      </c>
      <c r="R54" s="228">
        <v>0.312</v>
      </c>
      <c r="S54" s="225" t="s">
        <v>1582</v>
      </c>
      <c r="T54" s="227">
        <v>34.0</v>
      </c>
      <c r="U54" s="227">
        <v>62.0</v>
      </c>
      <c r="V54" s="226">
        <v>0.775</v>
      </c>
      <c r="W54" s="227">
        <v>188.0</v>
      </c>
      <c r="X54" s="226">
        <v>2.35</v>
      </c>
      <c r="Y54" s="227"/>
      <c r="Z54" s="228"/>
      <c r="AA54" s="227"/>
      <c r="AB54" s="228">
        <v>0.39799999999999996</v>
      </c>
      <c r="AC54" s="225"/>
      <c r="AD54" s="225"/>
      <c r="AE54" s="227"/>
      <c r="AF54" s="225" t="s">
        <v>51</v>
      </c>
      <c r="AG54" s="229"/>
    </row>
    <row r="55">
      <c r="A55" s="225" t="s">
        <v>109</v>
      </c>
      <c r="B55" s="225" t="s">
        <v>107</v>
      </c>
      <c r="C55" s="225" t="s">
        <v>48</v>
      </c>
      <c r="D55" s="226">
        <v>22.3</v>
      </c>
      <c r="E55" s="225" t="s">
        <v>13</v>
      </c>
      <c r="F55" s="227">
        <v>82.0</v>
      </c>
      <c r="G55" s="227">
        <v>12.0</v>
      </c>
      <c r="H55" s="227">
        <v>66.0</v>
      </c>
      <c r="I55" s="227">
        <v>78.0</v>
      </c>
      <c r="J55" s="226">
        <v>0.9512195121951219</v>
      </c>
      <c r="K55" s="226">
        <v>79.90243902439025</v>
      </c>
      <c r="L55" s="227">
        <v>124.0</v>
      </c>
      <c r="M55" s="226">
        <v>1.5121951219512195</v>
      </c>
      <c r="N55" s="228">
        <v>0.0967741935483871</v>
      </c>
      <c r="O55" s="227">
        <v>20.0</v>
      </c>
      <c r="P55" s="226">
        <v>0.24390243902439024</v>
      </c>
      <c r="Q55" s="225" t="s">
        <v>1253</v>
      </c>
      <c r="R55" s="228">
        <v>0.682</v>
      </c>
      <c r="S55" s="225" t="s">
        <v>1596</v>
      </c>
      <c r="T55" s="227">
        <v>34.0</v>
      </c>
      <c r="U55" s="227">
        <v>31.0</v>
      </c>
      <c r="V55" s="226">
        <v>0.3780487804878049</v>
      </c>
      <c r="W55" s="227">
        <v>137.0</v>
      </c>
      <c r="X55" s="226">
        <v>1.670731707317073</v>
      </c>
      <c r="Y55" s="227"/>
      <c r="Z55" s="228"/>
      <c r="AA55" s="227"/>
      <c r="AB55" s="228">
        <v>0.094</v>
      </c>
      <c r="AC55" s="225"/>
      <c r="AD55" s="225"/>
      <c r="AE55" s="227"/>
      <c r="AF55" s="225" t="s">
        <v>1597</v>
      </c>
      <c r="AG55" s="229"/>
    </row>
    <row r="56">
      <c r="A56" s="225" t="s">
        <v>153</v>
      </c>
      <c r="B56" s="225" t="s">
        <v>303</v>
      </c>
      <c r="C56" s="225" t="s">
        <v>48</v>
      </c>
      <c r="D56" s="226">
        <v>22.8</v>
      </c>
      <c r="E56" s="225" t="s">
        <v>13</v>
      </c>
      <c r="F56" s="227">
        <v>68.0</v>
      </c>
      <c r="G56" s="227">
        <v>6.0</v>
      </c>
      <c r="H56" s="227">
        <v>29.0</v>
      </c>
      <c r="I56" s="227">
        <v>35.0</v>
      </c>
      <c r="J56" s="226">
        <v>0.5147058823529411</v>
      </c>
      <c r="K56" s="226">
        <v>43.23529411764706</v>
      </c>
      <c r="L56" s="227">
        <v>150.0</v>
      </c>
      <c r="M56" s="226">
        <v>2.2058823529411766</v>
      </c>
      <c r="N56" s="228">
        <v>0.04</v>
      </c>
      <c r="O56" s="227">
        <v>13.0</v>
      </c>
      <c r="P56" s="226">
        <v>0.19117647058823528</v>
      </c>
      <c r="Q56" s="225" t="s">
        <v>1045</v>
      </c>
      <c r="R56" s="228">
        <v>0.493</v>
      </c>
      <c r="S56" s="225" t="s">
        <v>1598</v>
      </c>
      <c r="T56" s="227">
        <v>32.0</v>
      </c>
      <c r="U56" s="227">
        <v>19.0</v>
      </c>
      <c r="V56" s="226">
        <v>0.27941176470588236</v>
      </c>
      <c r="W56" s="227">
        <v>52.0</v>
      </c>
      <c r="X56" s="226">
        <v>0.7647058823529411</v>
      </c>
      <c r="Y56" s="227"/>
      <c r="Z56" s="228"/>
      <c r="AA56" s="227"/>
      <c r="AB56" s="228">
        <v>0.287</v>
      </c>
      <c r="AC56" s="225"/>
      <c r="AD56" s="225"/>
      <c r="AE56" s="227"/>
      <c r="AF56" s="225" t="s">
        <v>1222</v>
      </c>
      <c r="AG56" s="229"/>
    </row>
    <row r="57">
      <c r="A57" s="225" t="s">
        <v>153</v>
      </c>
      <c r="B57" s="225" t="s">
        <v>247</v>
      </c>
      <c r="C57" s="225" t="s">
        <v>48</v>
      </c>
      <c r="D57" s="226">
        <v>33.0</v>
      </c>
      <c r="E57" s="225" t="s">
        <v>815</v>
      </c>
      <c r="F57" s="227">
        <v>77.0</v>
      </c>
      <c r="G57" s="227">
        <v>12.0</v>
      </c>
      <c r="H57" s="227">
        <v>27.0</v>
      </c>
      <c r="I57" s="227">
        <v>39.0</v>
      </c>
      <c r="J57" s="226">
        <v>0.5064935064935064</v>
      </c>
      <c r="K57" s="226">
        <v>42.54545454545454</v>
      </c>
      <c r="L57" s="227">
        <v>203.0</v>
      </c>
      <c r="M57" s="226">
        <v>2.6363636363636362</v>
      </c>
      <c r="N57" s="228">
        <v>0.059113300492610835</v>
      </c>
      <c r="O57" s="227">
        <v>14.0</v>
      </c>
      <c r="P57" s="226">
        <v>0.18181818181818182</v>
      </c>
      <c r="Q57" s="225" t="s">
        <v>1310</v>
      </c>
      <c r="R57" s="228">
        <v>0.5</v>
      </c>
      <c r="S57" s="225" t="s">
        <v>1599</v>
      </c>
      <c r="T57" s="227">
        <v>50.0</v>
      </c>
      <c r="U57" s="227">
        <v>87.0</v>
      </c>
      <c r="V57" s="226">
        <v>1.12987012987013</v>
      </c>
      <c r="W57" s="227">
        <v>77.0</v>
      </c>
      <c r="X57" s="226">
        <v>1.0</v>
      </c>
      <c r="Y57" s="227"/>
      <c r="Z57" s="228"/>
      <c r="AA57" s="227"/>
      <c r="AB57" s="228">
        <v>0.33299999999999996</v>
      </c>
      <c r="AC57" s="225"/>
      <c r="AD57" s="225"/>
      <c r="AE57" s="227"/>
      <c r="AF57" s="225" t="s">
        <v>1222</v>
      </c>
      <c r="AG57" s="229"/>
    </row>
    <row r="58">
      <c r="A58" s="225" t="s">
        <v>196</v>
      </c>
      <c r="B58" s="225" t="s">
        <v>613</v>
      </c>
      <c r="C58" s="225" t="s">
        <v>48</v>
      </c>
      <c r="D58" s="226">
        <v>32.2</v>
      </c>
      <c r="E58" s="225" t="s">
        <v>13</v>
      </c>
      <c r="F58" s="227">
        <v>82.0</v>
      </c>
      <c r="G58" s="227">
        <v>3.0</v>
      </c>
      <c r="H58" s="227">
        <v>23.0</v>
      </c>
      <c r="I58" s="227">
        <v>26.0</v>
      </c>
      <c r="J58" s="226">
        <v>0.3170731707317073</v>
      </c>
      <c r="K58" s="226">
        <v>26.634146341463413</v>
      </c>
      <c r="L58" s="227">
        <v>111.0</v>
      </c>
      <c r="M58" s="226">
        <v>1.353658536585366</v>
      </c>
      <c r="N58" s="228">
        <v>0.02702702702702703</v>
      </c>
      <c r="O58" s="227">
        <v>3.0</v>
      </c>
      <c r="P58" s="226">
        <v>0.036585365853658534</v>
      </c>
      <c r="Q58" s="225" t="s">
        <v>1184</v>
      </c>
      <c r="R58" s="228">
        <v>0.23600000000000002</v>
      </c>
      <c r="S58" s="225" t="s">
        <v>1600</v>
      </c>
      <c r="T58" s="227">
        <v>40.0</v>
      </c>
      <c r="U58" s="227">
        <v>70.0</v>
      </c>
      <c r="V58" s="226">
        <v>0.8536585365853658</v>
      </c>
      <c r="W58" s="227">
        <v>84.0</v>
      </c>
      <c r="X58" s="226">
        <v>1.024390243902439</v>
      </c>
      <c r="Y58" s="227"/>
      <c r="Z58" s="228"/>
      <c r="AA58" s="227"/>
      <c r="AB58" s="228">
        <v>0.5660000000000001</v>
      </c>
      <c r="AC58" s="225"/>
      <c r="AD58" s="225"/>
      <c r="AE58" s="227"/>
      <c r="AF58" s="225" t="s">
        <v>819</v>
      </c>
      <c r="AG58" s="229"/>
    </row>
    <row r="59">
      <c r="A59" s="225" t="s">
        <v>196</v>
      </c>
      <c r="B59" s="225" t="s">
        <v>194</v>
      </c>
      <c r="C59" s="225" t="s">
        <v>48</v>
      </c>
      <c r="D59" s="226">
        <v>36.0</v>
      </c>
      <c r="E59" s="225" t="s">
        <v>13</v>
      </c>
      <c r="F59" s="227">
        <v>68.0</v>
      </c>
      <c r="G59" s="227">
        <v>13.0</v>
      </c>
      <c r="H59" s="227">
        <v>42.0</v>
      </c>
      <c r="I59" s="227">
        <v>55.0</v>
      </c>
      <c r="J59" s="226">
        <v>0.8088235294117647</v>
      </c>
      <c r="K59" s="226">
        <v>67.94117647058823</v>
      </c>
      <c r="L59" s="227">
        <v>181.0</v>
      </c>
      <c r="M59" s="226">
        <v>2.661764705882353</v>
      </c>
      <c r="N59" s="228">
        <v>0.0718232044198895</v>
      </c>
      <c r="O59" s="227">
        <v>24.0</v>
      </c>
      <c r="P59" s="226">
        <v>0.35294117647058826</v>
      </c>
      <c r="Q59" s="225" t="s">
        <v>1114</v>
      </c>
      <c r="R59" s="228">
        <v>0.685</v>
      </c>
      <c r="S59" s="225" t="s">
        <v>1601</v>
      </c>
      <c r="T59" s="227">
        <v>30.0</v>
      </c>
      <c r="U59" s="227">
        <v>24.0</v>
      </c>
      <c r="V59" s="226">
        <v>0.35294117647058826</v>
      </c>
      <c r="W59" s="227">
        <v>101.0</v>
      </c>
      <c r="X59" s="226">
        <v>1.4852941176470589</v>
      </c>
      <c r="Y59" s="227"/>
      <c r="Z59" s="228"/>
      <c r="AA59" s="227"/>
      <c r="AB59" s="228">
        <v>0.23199999999999998</v>
      </c>
      <c r="AC59" s="225"/>
      <c r="AD59" s="225"/>
      <c r="AE59" s="227"/>
      <c r="AF59" s="225" t="s">
        <v>1602</v>
      </c>
      <c r="AG59" s="229"/>
    </row>
    <row r="60">
      <c r="A60" s="225" t="s">
        <v>196</v>
      </c>
      <c r="B60" s="225" t="s">
        <v>623</v>
      </c>
      <c r="C60" s="225" t="s">
        <v>48</v>
      </c>
      <c r="D60" s="226">
        <v>23.1</v>
      </c>
      <c r="E60" s="225" t="s">
        <v>815</v>
      </c>
      <c r="F60" s="227">
        <v>18.0</v>
      </c>
      <c r="G60" s="227">
        <v>2.0</v>
      </c>
      <c r="H60" s="227">
        <v>9.0</v>
      </c>
      <c r="I60" s="227">
        <v>11.0</v>
      </c>
      <c r="J60" s="226">
        <v>0.6111111111111112</v>
      </c>
      <c r="K60" s="226">
        <v>51.333333333333336</v>
      </c>
      <c r="L60" s="227">
        <v>11.0</v>
      </c>
      <c r="M60" s="226">
        <v>0.6111111111111112</v>
      </c>
      <c r="N60" s="228">
        <v>0.18181818181818182</v>
      </c>
      <c r="O60" s="227">
        <v>2.0</v>
      </c>
      <c r="P60" s="226">
        <v>0.1111111111111111</v>
      </c>
      <c r="Q60" s="225" t="s">
        <v>895</v>
      </c>
      <c r="R60" s="228">
        <v>0.355</v>
      </c>
      <c r="S60" s="225" t="s">
        <v>1603</v>
      </c>
      <c r="T60" s="227">
        <v>6.0</v>
      </c>
      <c r="U60" s="227">
        <v>10.0</v>
      </c>
      <c r="V60" s="226">
        <v>0.5555555555555556</v>
      </c>
      <c r="W60" s="227">
        <v>13.0</v>
      </c>
      <c r="X60" s="226">
        <v>0.7222222222222222</v>
      </c>
      <c r="Y60" s="227"/>
      <c r="Z60" s="228"/>
      <c r="AA60" s="227"/>
      <c r="AB60" s="228">
        <v>0.016</v>
      </c>
      <c r="AC60" s="225"/>
      <c r="AD60" s="225"/>
      <c r="AE60" s="227"/>
      <c r="AF60" s="225" t="s">
        <v>840</v>
      </c>
      <c r="AG60" s="229"/>
    </row>
    <row r="61">
      <c r="A61" s="225" t="s">
        <v>196</v>
      </c>
      <c r="B61" s="225" t="s">
        <v>1604</v>
      </c>
      <c r="C61" s="225"/>
      <c r="D61" s="226"/>
      <c r="E61" s="225"/>
      <c r="F61" s="227"/>
      <c r="G61" s="227"/>
      <c r="H61" s="227"/>
      <c r="I61" s="227"/>
      <c r="J61" s="226"/>
      <c r="K61" s="226"/>
      <c r="L61" s="227"/>
      <c r="M61" s="226"/>
      <c r="N61" s="228"/>
      <c r="O61" s="227"/>
      <c r="P61" s="226"/>
      <c r="Q61" s="225"/>
      <c r="R61" s="228"/>
      <c r="S61" s="225"/>
      <c r="T61" s="227"/>
      <c r="U61" s="227"/>
      <c r="V61" s="226"/>
      <c r="W61" s="227"/>
      <c r="X61" s="226"/>
      <c r="Y61" s="227"/>
      <c r="Z61" s="228"/>
      <c r="AA61" s="227"/>
      <c r="AB61" s="228"/>
      <c r="AC61" s="225"/>
      <c r="AD61" s="225"/>
      <c r="AE61" s="227"/>
      <c r="AF61" s="225"/>
      <c r="AG61" s="229"/>
    </row>
    <row r="62">
      <c r="A62" s="225" t="s">
        <v>65</v>
      </c>
      <c r="B62" s="225" t="s">
        <v>146</v>
      </c>
      <c r="C62" s="225" t="s">
        <v>48</v>
      </c>
      <c r="D62" s="226">
        <v>18.8</v>
      </c>
      <c r="E62" s="225" t="s">
        <v>13</v>
      </c>
      <c r="F62" s="227">
        <v>82.0</v>
      </c>
      <c r="G62" s="227">
        <v>23.0</v>
      </c>
      <c r="H62" s="227">
        <v>36.0</v>
      </c>
      <c r="I62" s="227">
        <v>59.0</v>
      </c>
      <c r="J62" s="226">
        <v>0.7195121951219512</v>
      </c>
      <c r="K62" s="226">
        <v>60.4390243902439</v>
      </c>
      <c r="L62" s="227">
        <v>222.0</v>
      </c>
      <c r="M62" s="226">
        <v>2.707317073170732</v>
      </c>
      <c r="N62" s="228">
        <v>0.1036036036036036</v>
      </c>
      <c r="O62" s="227">
        <v>18.0</v>
      </c>
      <c r="P62" s="226">
        <v>0.21951219512195122</v>
      </c>
      <c r="Q62" s="225" t="s">
        <v>1605</v>
      </c>
      <c r="R62" s="228">
        <v>0.677</v>
      </c>
      <c r="S62" s="225" t="s">
        <v>1577</v>
      </c>
      <c r="T62" s="227">
        <v>38.0</v>
      </c>
      <c r="U62" s="227">
        <v>40.0</v>
      </c>
      <c r="V62" s="226">
        <v>0.4878048780487805</v>
      </c>
      <c r="W62" s="227">
        <v>111.0</v>
      </c>
      <c r="X62" s="226">
        <v>1.353658536585366</v>
      </c>
      <c r="Y62" s="227"/>
      <c r="Z62" s="228"/>
      <c r="AA62" s="227"/>
      <c r="AB62" s="228">
        <v>0.254</v>
      </c>
      <c r="AC62" s="225"/>
      <c r="AD62" s="225"/>
      <c r="AE62" s="227"/>
      <c r="AF62" s="225" t="s">
        <v>1233</v>
      </c>
      <c r="AG62" s="229"/>
    </row>
    <row r="63">
      <c r="A63" s="225" t="s">
        <v>65</v>
      </c>
      <c r="B63" s="225" t="s">
        <v>1606</v>
      </c>
      <c r="C63" s="225" t="s">
        <v>48</v>
      </c>
      <c r="D63" s="226">
        <v>31.7</v>
      </c>
      <c r="E63" s="225" t="s">
        <v>815</v>
      </c>
      <c r="F63" s="227">
        <v>76.0</v>
      </c>
      <c r="G63" s="227">
        <v>3.0</v>
      </c>
      <c r="H63" s="227">
        <v>24.0</v>
      </c>
      <c r="I63" s="227">
        <v>27.0</v>
      </c>
      <c r="J63" s="226">
        <v>0.35526315789473684</v>
      </c>
      <c r="K63" s="226">
        <v>29.842105263157894</v>
      </c>
      <c r="L63" s="227">
        <v>93.0</v>
      </c>
      <c r="M63" s="226">
        <v>1.2236842105263157</v>
      </c>
      <c r="N63" s="228">
        <v>0.03225806451612903</v>
      </c>
      <c r="O63" s="227">
        <v>1.0</v>
      </c>
      <c r="P63" s="226">
        <v>0.013157894736842105</v>
      </c>
      <c r="Q63" s="225" t="s">
        <v>1607</v>
      </c>
      <c r="R63" s="228">
        <v>0.027000000000000003</v>
      </c>
      <c r="S63" s="225" t="s">
        <v>1251</v>
      </c>
      <c r="T63" s="227">
        <v>16.0</v>
      </c>
      <c r="U63" s="227">
        <v>49.0</v>
      </c>
      <c r="V63" s="226">
        <v>0.6447368421052632</v>
      </c>
      <c r="W63" s="227">
        <v>148.0</v>
      </c>
      <c r="X63" s="226">
        <v>1.9473684210526316</v>
      </c>
      <c r="Y63" s="227"/>
      <c r="Z63" s="228"/>
      <c r="AA63" s="227"/>
      <c r="AB63" s="228">
        <v>0.626</v>
      </c>
      <c r="AC63" s="225"/>
      <c r="AD63" s="225"/>
      <c r="AE63" s="227"/>
      <c r="AF63" s="225" t="s">
        <v>1608</v>
      </c>
      <c r="AG63" s="229"/>
    </row>
    <row r="64">
      <c r="A64" s="225" t="s">
        <v>65</v>
      </c>
      <c r="B64" s="225" t="s">
        <v>358</v>
      </c>
      <c r="C64" s="225" t="s">
        <v>48</v>
      </c>
      <c r="D64" s="226">
        <v>30.6</v>
      </c>
      <c r="E64" s="225" t="s">
        <v>815</v>
      </c>
      <c r="F64" s="227">
        <v>76.0</v>
      </c>
      <c r="G64" s="227">
        <v>5.0</v>
      </c>
      <c r="H64" s="227">
        <v>30.0</v>
      </c>
      <c r="I64" s="227">
        <v>35.0</v>
      </c>
      <c r="J64" s="226">
        <v>0.4605263157894737</v>
      </c>
      <c r="K64" s="226">
        <v>38.68421052631579</v>
      </c>
      <c r="L64" s="227">
        <v>148.0</v>
      </c>
      <c r="M64" s="226">
        <v>1.9473684210526316</v>
      </c>
      <c r="N64" s="228">
        <v>0.033783783783783786</v>
      </c>
      <c r="O64" s="227">
        <v>7.0</v>
      </c>
      <c r="P64" s="226">
        <v>0.09210526315789473</v>
      </c>
      <c r="Q64" s="225" t="s">
        <v>1265</v>
      </c>
      <c r="R64" s="228">
        <v>0.32299999999999995</v>
      </c>
      <c r="S64" s="225" t="s">
        <v>1609</v>
      </c>
      <c r="T64" s="227">
        <v>43.0</v>
      </c>
      <c r="U64" s="227">
        <v>33.0</v>
      </c>
      <c r="V64" s="226">
        <v>0.4342105263157895</v>
      </c>
      <c r="W64" s="227">
        <v>70.0</v>
      </c>
      <c r="X64" s="226">
        <v>0.9210526315789473</v>
      </c>
      <c r="Y64" s="227"/>
      <c r="Z64" s="228"/>
      <c r="AA64" s="227"/>
      <c r="AB64" s="228">
        <v>0.013999999999999999</v>
      </c>
      <c r="AC64" s="225"/>
      <c r="AD64" s="225"/>
      <c r="AE64" s="227"/>
      <c r="AF64" s="225" t="s">
        <v>308</v>
      </c>
      <c r="AG64" s="229"/>
    </row>
    <row r="65">
      <c r="A65" s="225" t="s">
        <v>88</v>
      </c>
      <c r="B65" s="225" t="s">
        <v>587</v>
      </c>
      <c r="C65" s="225" t="s">
        <v>48</v>
      </c>
      <c r="D65" s="226">
        <v>30.6</v>
      </c>
      <c r="E65" s="225" t="s">
        <v>13</v>
      </c>
      <c r="F65" s="227">
        <v>82.0</v>
      </c>
      <c r="G65" s="227">
        <v>14.0</v>
      </c>
      <c r="H65" s="227">
        <v>21.0</v>
      </c>
      <c r="I65" s="227">
        <v>35.0</v>
      </c>
      <c r="J65" s="226">
        <v>0.4268292682926829</v>
      </c>
      <c r="K65" s="226">
        <v>35.853658536585364</v>
      </c>
      <c r="L65" s="227">
        <v>119.0</v>
      </c>
      <c r="M65" s="226">
        <v>1.451219512195122</v>
      </c>
      <c r="N65" s="228">
        <v>0.11764705882352941</v>
      </c>
      <c r="O65" s="227">
        <v>6.0</v>
      </c>
      <c r="P65" s="226">
        <v>0.07317073170731707</v>
      </c>
      <c r="Q65" s="225" t="s">
        <v>1288</v>
      </c>
      <c r="R65" s="228">
        <v>0.23600000000000002</v>
      </c>
      <c r="S65" s="225" t="s">
        <v>1610</v>
      </c>
      <c r="T65" s="227">
        <v>50.0</v>
      </c>
      <c r="U65" s="227">
        <v>50.0</v>
      </c>
      <c r="V65" s="226">
        <v>0.6097560975609756</v>
      </c>
      <c r="W65" s="227">
        <v>104.0</v>
      </c>
      <c r="X65" s="226">
        <v>1.2682926829268293</v>
      </c>
      <c r="Y65" s="227"/>
      <c r="Z65" s="228"/>
      <c r="AA65" s="227"/>
      <c r="AB65" s="228">
        <v>0.517</v>
      </c>
      <c r="AC65" s="225"/>
      <c r="AD65" s="225"/>
      <c r="AE65" s="227"/>
      <c r="AF65" s="225" t="s">
        <v>819</v>
      </c>
      <c r="AG65" s="229"/>
    </row>
    <row r="66">
      <c r="A66" s="225" t="s">
        <v>88</v>
      </c>
      <c r="B66" s="225" t="s">
        <v>85</v>
      </c>
      <c r="C66" s="225" t="s">
        <v>48</v>
      </c>
      <c r="D66" s="226">
        <v>28.3</v>
      </c>
      <c r="E66" s="225" t="s">
        <v>815</v>
      </c>
      <c r="F66" s="227">
        <v>55.0</v>
      </c>
      <c r="G66" s="227">
        <v>9.0</v>
      </c>
      <c r="H66" s="227">
        <v>44.0</v>
      </c>
      <c r="I66" s="227">
        <v>53.0</v>
      </c>
      <c r="J66" s="226">
        <v>0.9636363636363636</v>
      </c>
      <c r="K66" s="226">
        <v>80.94545454545454</v>
      </c>
      <c r="L66" s="227">
        <v>91.0</v>
      </c>
      <c r="M66" s="226">
        <v>1.6545454545454545</v>
      </c>
      <c r="N66" s="228">
        <v>0.0989010989010989</v>
      </c>
      <c r="O66" s="227">
        <v>24.0</v>
      </c>
      <c r="P66" s="226">
        <v>0.43636363636363634</v>
      </c>
      <c r="Q66" s="225" t="s">
        <v>1253</v>
      </c>
      <c r="R66" s="228">
        <v>0.794</v>
      </c>
      <c r="S66" s="225" t="s">
        <v>1611</v>
      </c>
      <c r="T66" s="227">
        <v>20.0</v>
      </c>
      <c r="U66" s="227">
        <v>24.0</v>
      </c>
      <c r="V66" s="226">
        <v>0.43636363636363634</v>
      </c>
      <c r="W66" s="227">
        <v>74.0</v>
      </c>
      <c r="X66" s="226">
        <v>1.3454545454545455</v>
      </c>
      <c r="Y66" s="227"/>
      <c r="Z66" s="228"/>
      <c r="AA66" s="227"/>
      <c r="AB66" s="228">
        <v>0.15</v>
      </c>
      <c r="AC66" s="225"/>
      <c r="AD66" s="225"/>
      <c r="AE66" s="227"/>
      <c r="AF66" s="225" t="s">
        <v>51</v>
      </c>
      <c r="AG66" s="229"/>
    </row>
    <row r="67">
      <c r="A67" s="225" t="s">
        <v>88</v>
      </c>
      <c r="B67" s="225" t="s">
        <v>422</v>
      </c>
      <c r="C67" s="225" t="s">
        <v>48</v>
      </c>
      <c r="D67" s="226">
        <v>27.7</v>
      </c>
      <c r="E67" s="225" t="s">
        <v>815</v>
      </c>
      <c r="F67" s="227">
        <v>60.0</v>
      </c>
      <c r="G67" s="227">
        <v>5.0</v>
      </c>
      <c r="H67" s="227">
        <v>22.0</v>
      </c>
      <c r="I67" s="227">
        <v>27.0</v>
      </c>
      <c r="J67" s="226">
        <v>0.45</v>
      </c>
      <c r="K67" s="226">
        <v>37.800000000000004</v>
      </c>
      <c r="L67" s="227">
        <v>84.0</v>
      </c>
      <c r="M67" s="226">
        <v>1.4</v>
      </c>
      <c r="N67" s="228">
        <v>0.05952380952380952</v>
      </c>
      <c r="O67" s="227">
        <v>4.0</v>
      </c>
      <c r="P67" s="226">
        <v>0.06666666666666667</v>
      </c>
      <c r="Q67" s="225" t="s">
        <v>1332</v>
      </c>
      <c r="R67" s="228">
        <v>0.27699999999999997</v>
      </c>
      <c r="S67" s="225" t="s">
        <v>1612</v>
      </c>
      <c r="T67" s="227">
        <v>50.0</v>
      </c>
      <c r="U67" s="227">
        <v>40.0</v>
      </c>
      <c r="V67" s="226">
        <v>0.6666666666666666</v>
      </c>
      <c r="W67" s="227">
        <v>88.0</v>
      </c>
      <c r="X67" s="226">
        <v>1.4666666666666666</v>
      </c>
      <c r="Y67" s="227"/>
      <c r="Z67" s="228"/>
      <c r="AA67" s="227"/>
      <c r="AB67" s="228">
        <v>0.071</v>
      </c>
      <c r="AC67" s="225"/>
      <c r="AD67" s="225"/>
      <c r="AE67" s="227"/>
      <c r="AF67" s="225" t="s">
        <v>187</v>
      </c>
      <c r="AG67" s="229"/>
    </row>
    <row r="68">
      <c r="A68" s="225" t="s">
        <v>122</v>
      </c>
      <c r="B68" s="225" t="s">
        <v>120</v>
      </c>
      <c r="C68" s="225" t="s">
        <v>48</v>
      </c>
      <c r="D68" s="226">
        <v>23.9</v>
      </c>
      <c r="E68" s="225" t="s">
        <v>13</v>
      </c>
      <c r="F68" s="227">
        <v>67.0</v>
      </c>
      <c r="G68" s="227">
        <v>14.0</v>
      </c>
      <c r="H68" s="227">
        <v>40.0</v>
      </c>
      <c r="I68" s="227">
        <v>54.0</v>
      </c>
      <c r="J68" s="226">
        <v>0.8059701492537313</v>
      </c>
      <c r="K68" s="226">
        <v>67.70149253731343</v>
      </c>
      <c r="L68" s="227">
        <v>147.0</v>
      </c>
      <c r="M68" s="226">
        <v>2.1940298507462686</v>
      </c>
      <c r="N68" s="228">
        <v>0.09523809523809523</v>
      </c>
      <c r="O68" s="227">
        <v>22.0</v>
      </c>
      <c r="P68" s="226">
        <v>0.3283582089552239</v>
      </c>
      <c r="Q68" s="225" t="s">
        <v>806</v>
      </c>
      <c r="R68" s="228">
        <v>0.624</v>
      </c>
      <c r="S68" s="225" t="s">
        <v>1613</v>
      </c>
      <c r="T68" s="227">
        <v>8.0</v>
      </c>
      <c r="U68" s="227">
        <v>29.0</v>
      </c>
      <c r="V68" s="226">
        <v>0.43283582089552236</v>
      </c>
      <c r="W68" s="227">
        <v>128.0</v>
      </c>
      <c r="X68" s="226">
        <v>1.9104477611940298</v>
      </c>
      <c r="Y68" s="227"/>
      <c r="Z68" s="228"/>
      <c r="AA68" s="227"/>
      <c r="AB68" s="228">
        <v>0.624</v>
      </c>
      <c r="AC68" s="225"/>
      <c r="AD68" s="225"/>
      <c r="AE68" s="227"/>
      <c r="AF68" s="225" t="s">
        <v>1614</v>
      </c>
      <c r="AG68" s="229"/>
    </row>
    <row r="69">
      <c r="A69" s="225" t="s">
        <v>122</v>
      </c>
      <c r="B69" s="225" t="s">
        <v>605</v>
      </c>
      <c r="C69" s="225" t="s">
        <v>48</v>
      </c>
      <c r="D69" s="226">
        <v>30.7</v>
      </c>
      <c r="E69" s="225" t="s">
        <v>815</v>
      </c>
      <c r="F69" s="227">
        <v>81.0</v>
      </c>
      <c r="G69" s="227">
        <v>5.0</v>
      </c>
      <c r="H69" s="227">
        <v>25.0</v>
      </c>
      <c r="I69" s="227">
        <v>30.0</v>
      </c>
      <c r="J69" s="226">
        <v>0.37037037037037035</v>
      </c>
      <c r="K69" s="226">
        <v>31.11111111111111</v>
      </c>
      <c r="L69" s="227">
        <v>92.0</v>
      </c>
      <c r="M69" s="226">
        <v>1.1358024691358024</v>
      </c>
      <c r="N69" s="228">
        <v>0.05434782608695652</v>
      </c>
      <c r="O69" s="227">
        <v>0.0</v>
      </c>
      <c r="P69" s="226">
        <v>0.0</v>
      </c>
      <c r="Q69" s="225" t="s">
        <v>1351</v>
      </c>
      <c r="R69" s="228">
        <v>0.02</v>
      </c>
      <c r="S69" s="225" t="s">
        <v>1463</v>
      </c>
      <c r="T69" s="227">
        <v>57.0</v>
      </c>
      <c r="U69" s="227">
        <v>66.0</v>
      </c>
      <c r="V69" s="226">
        <v>0.8148148148148148</v>
      </c>
      <c r="W69" s="227">
        <v>120.0</v>
      </c>
      <c r="X69" s="226">
        <v>1.4814814814814814</v>
      </c>
      <c r="Y69" s="227"/>
      <c r="Z69" s="228"/>
      <c r="AA69" s="227"/>
      <c r="AB69" s="228">
        <v>0.593</v>
      </c>
      <c r="AC69" s="225"/>
      <c r="AD69" s="225"/>
      <c r="AE69" s="227"/>
      <c r="AF69" s="225" t="s">
        <v>1545</v>
      </c>
      <c r="AG69" s="229"/>
    </row>
    <row r="70">
      <c r="A70" s="225" t="s">
        <v>122</v>
      </c>
      <c r="B70" s="225" t="s">
        <v>329</v>
      </c>
      <c r="C70" s="225" t="s">
        <v>48</v>
      </c>
      <c r="D70" s="226">
        <v>29.4</v>
      </c>
      <c r="E70" s="225" t="s">
        <v>13</v>
      </c>
      <c r="F70" s="227">
        <v>57.0</v>
      </c>
      <c r="G70" s="227">
        <v>7.0</v>
      </c>
      <c r="H70" s="227">
        <v>24.0</v>
      </c>
      <c r="I70" s="227">
        <v>31.0</v>
      </c>
      <c r="J70" s="226">
        <v>0.543859649122807</v>
      </c>
      <c r="K70" s="226">
        <v>45.684210526315795</v>
      </c>
      <c r="L70" s="227">
        <v>99.0</v>
      </c>
      <c r="M70" s="226">
        <v>1.736842105263158</v>
      </c>
      <c r="N70" s="228">
        <v>0.0707070707070707</v>
      </c>
      <c r="O70" s="227">
        <v>7.0</v>
      </c>
      <c r="P70" s="226">
        <v>0.12280701754385964</v>
      </c>
      <c r="Q70" s="225" t="s">
        <v>1442</v>
      </c>
      <c r="R70" s="228">
        <v>0.426</v>
      </c>
      <c r="S70" s="225" t="s">
        <v>1615</v>
      </c>
      <c r="T70" s="227">
        <v>22.0</v>
      </c>
      <c r="U70" s="227">
        <v>36.0</v>
      </c>
      <c r="V70" s="226">
        <v>0.631578947368421</v>
      </c>
      <c r="W70" s="227">
        <v>111.0</v>
      </c>
      <c r="X70" s="226">
        <v>1.9473684210526316</v>
      </c>
      <c r="Y70" s="227"/>
      <c r="Z70" s="228"/>
      <c r="AA70" s="227"/>
      <c r="AB70" s="228">
        <v>0.327</v>
      </c>
      <c r="AC70" s="225"/>
      <c r="AD70" s="225"/>
      <c r="AE70" s="227"/>
      <c r="AF70" s="225" t="s">
        <v>1181</v>
      </c>
      <c r="AG70" s="229"/>
    </row>
    <row r="71">
      <c r="A71" s="225" t="s">
        <v>122</v>
      </c>
      <c r="B71" s="225" t="s">
        <v>416</v>
      </c>
      <c r="C71" s="225" t="s">
        <v>48</v>
      </c>
      <c r="D71" s="226">
        <v>25.3</v>
      </c>
      <c r="E71" s="225" t="s">
        <v>815</v>
      </c>
      <c r="F71" s="227">
        <v>73.0</v>
      </c>
      <c r="G71" s="227">
        <v>7.0</v>
      </c>
      <c r="H71" s="227">
        <v>24.0</v>
      </c>
      <c r="I71" s="227">
        <v>31.0</v>
      </c>
      <c r="J71" s="226">
        <v>0.4246575342465753</v>
      </c>
      <c r="K71" s="226">
        <v>35.671232876712324</v>
      </c>
      <c r="L71" s="227">
        <v>108.0</v>
      </c>
      <c r="M71" s="226">
        <v>1.4794520547945205</v>
      </c>
      <c r="N71" s="228">
        <v>0.06481481481481481</v>
      </c>
      <c r="O71" s="227">
        <v>3.0</v>
      </c>
      <c r="P71" s="226">
        <v>0.0410958904109589</v>
      </c>
      <c r="Q71" s="225" t="s">
        <v>1235</v>
      </c>
      <c r="R71" s="228">
        <v>0.242</v>
      </c>
      <c r="S71" s="225" t="s">
        <v>1509</v>
      </c>
      <c r="T71" s="227">
        <v>22.0</v>
      </c>
      <c r="U71" s="227">
        <v>55.0</v>
      </c>
      <c r="V71" s="226">
        <v>0.7534246575342466</v>
      </c>
      <c r="W71" s="227">
        <v>59.0</v>
      </c>
      <c r="X71" s="226">
        <v>0.8082191780821918</v>
      </c>
      <c r="Y71" s="227"/>
      <c r="Z71" s="228"/>
      <c r="AA71" s="227"/>
      <c r="AB71" s="228">
        <v>0.036000000000000004</v>
      </c>
      <c r="AC71" s="225"/>
      <c r="AD71" s="225"/>
      <c r="AE71" s="227"/>
      <c r="AF71" s="225" t="s">
        <v>349</v>
      </c>
      <c r="AG71" s="229"/>
    </row>
    <row r="72">
      <c r="A72" s="225" t="s">
        <v>122</v>
      </c>
      <c r="B72" s="225" t="s">
        <v>570</v>
      </c>
      <c r="C72" s="225" t="s">
        <v>48</v>
      </c>
      <c r="D72" s="226">
        <v>20.7</v>
      </c>
      <c r="E72" s="225" t="s">
        <v>815</v>
      </c>
      <c r="F72" s="227">
        <v>4.0</v>
      </c>
      <c r="G72" s="227">
        <v>1.0</v>
      </c>
      <c r="H72" s="227">
        <v>1.0</v>
      </c>
      <c r="I72" s="227">
        <v>2.0</v>
      </c>
      <c r="J72" s="226">
        <v>0.5</v>
      </c>
      <c r="K72" s="226">
        <v>42.0</v>
      </c>
      <c r="L72" s="227">
        <v>5.0</v>
      </c>
      <c r="M72" s="226">
        <v>1.25</v>
      </c>
      <c r="N72" s="228">
        <v>0.2</v>
      </c>
      <c r="O72" s="227">
        <v>1.0</v>
      </c>
      <c r="P72" s="226">
        <v>0.25</v>
      </c>
      <c r="Q72" s="225" t="s">
        <v>853</v>
      </c>
      <c r="R72" s="228">
        <v>0.349</v>
      </c>
      <c r="S72" s="225" t="s">
        <v>947</v>
      </c>
      <c r="T72" s="227">
        <v>2.0</v>
      </c>
      <c r="U72" s="227">
        <v>0.0</v>
      </c>
      <c r="V72" s="226">
        <v>0.0</v>
      </c>
      <c r="W72" s="227">
        <v>4.0</v>
      </c>
      <c r="X72" s="226">
        <v>1.0</v>
      </c>
      <c r="Y72" s="227"/>
      <c r="Z72" s="228"/>
      <c r="AA72" s="227"/>
      <c r="AB72" s="228">
        <v>0.002</v>
      </c>
      <c r="AC72" s="225"/>
      <c r="AD72" s="225"/>
      <c r="AE72" s="227"/>
      <c r="AF72" s="225" t="s">
        <v>1418</v>
      </c>
      <c r="AG72" s="229"/>
    </row>
    <row r="73">
      <c r="A73" s="225" t="s">
        <v>185</v>
      </c>
      <c r="B73" s="225" t="s">
        <v>499</v>
      </c>
      <c r="C73" s="225" t="s">
        <v>48</v>
      </c>
      <c r="D73" s="226">
        <v>30.2</v>
      </c>
      <c r="E73" s="225" t="s">
        <v>13</v>
      </c>
      <c r="F73" s="227">
        <v>81.0</v>
      </c>
      <c r="G73" s="227">
        <v>11.0</v>
      </c>
      <c r="H73" s="227">
        <v>26.0</v>
      </c>
      <c r="I73" s="227">
        <v>37.0</v>
      </c>
      <c r="J73" s="226">
        <v>0.4567901234567901</v>
      </c>
      <c r="K73" s="226">
        <v>38.37037037037037</v>
      </c>
      <c r="L73" s="227">
        <v>95.0</v>
      </c>
      <c r="M73" s="226">
        <v>1.1728395061728396</v>
      </c>
      <c r="N73" s="228">
        <v>0.11578947368421053</v>
      </c>
      <c r="O73" s="227">
        <v>3.0</v>
      </c>
      <c r="P73" s="226">
        <v>0.037037037037037035</v>
      </c>
      <c r="Q73" s="225" t="s">
        <v>970</v>
      </c>
      <c r="R73" s="228">
        <v>0.226</v>
      </c>
      <c r="S73" s="225" t="s">
        <v>1616</v>
      </c>
      <c r="T73" s="227">
        <v>20.0</v>
      </c>
      <c r="U73" s="227">
        <v>46.0</v>
      </c>
      <c r="V73" s="226">
        <v>0.5679012345679012</v>
      </c>
      <c r="W73" s="227">
        <v>152.0</v>
      </c>
      <c r="X73" s="226">
        <v>1.876543209876543</v>
      </c>
      <c r="Y73" s="227"/>
      <c r="Z73" s="228"/>
      <c r="AA73" s="227"/>
      <c r="AB73" s="228">
        <v>0.64</v>
      </c>
      <c r="AC73" s="225"/>
      <c r="AD73" s="225"/>
      <c r="AE73" s="227"/>
      <c r="AF73" s="225" t="s">
        <v>469</v>
      </c>
      <c r="AG73" s="229"/>
    </row>
    <row r="74">
      <c r="A74" s="225" t="s">
        <v>185</v>
      </c>
      <c r="B74" s="225" t="s">
        <v>601</v>
      </c>
      <c r="C74" s="225" t="s">
        <v>48</v>
      </c>
      <c r="D74" s="226">
        <v>25.4</v>
      </c>
      <c r="E74" s="225" t="s">
        <v>13</v>
      </c>
      <c r="F74" s="227">
        <v>74.0</v>
      </c>
      <c r="G74" s="227">
        <v>4.0</v>
      </c>
      <c r="H74" s="227">
        <v>22.0</v>
      </c>
      <c r="I74" s="227">
        <v>26.0</v>
      </c>
      <c r="J74" s="226">
        <v>0.35135135135135137</v>
      </c>
      <c r="K74" s="226">
        <v>29.513513513513516</v>
      </c>
      <c r="L74" s="227">
        <v>89.0</v>
      </c>
      <c r="M74" s="226">
        <v>1.2027027027027026</v>
      </c>
      <c r="N74" s="228">
        <v>0.0449438202247191</v>
      </c>
      <c r="O74" s="227">
        <v>7.0</v>
      </c>
      <c r="P74" s="226">
        <v>0.0945945945945946</v>
      </c>
      <c r="Q74" s="225" t="s">
        <v>946</v>
      </c>
      <c r="R74" s="228">
        <v>0.33299999999999996</v>
      </c>
      <c r="S74" s="225" t="s">
        <v>1617</v>
      </c>
      <c r="T74" s="227">
        <v>28.0</v>
      </c>
      <c r="U74" s="227">
        <v>24.0</v>
      </c>
      <c r="V74" s="226">
        <v>0.32432432432432434</v>
      </c>
      <c r="W74" s="227">
        <v>145.0</v>
      </c>
      <c r="X74" s="226">
        <v>1.9594594594594594</v>
      </c>
      <c r="Y74" s="227"/>
      <c r="Z74" s="228"/>
      <c r="AA74" s="227"/>
      <c r="AB74" s="228">
        <v>0.564</v>
      </c>
      <c r="AC74" s="225"/>
      <c r="AD74" s="225"/>
      <c r="AE74" s="227"/>
      <c r="AF74" s="225" t="s">
        <v>1618</v>
      </c>
      <c r="AG74" s="229"/>
    </row>
    <row r="75">
      <c r="A75" s="225" t="s">
        <v>185</v>
      </c>
      <c r="B75" s="225" t="s">
        <v>496</v>
      </c>
      <c r="C75" s="225" t="s">
        <v>48</v>
      </c>
      <c r="D75" s="226">
        <v>24.2</v>
      </c>
      <c r="E75" s="225" t="s">
        <v>815</v>
      </c>
      <c r="F75" s="227">
        <v>78.0</v>
      </c>
      <c r="G75" s="227">
        <v>8.0</v>
      </c>
      <c r="H75" s="227">
        <v>24.0</v>
      </c>
      <c r="I75" s="227">
        <v>32.0</v>
      </c>
      <c r="J75" s="226">
        <v>0.41025641025641024</v>
      </c>
      <c r="K75" s="226">
        <v>34.46153846153846</v>
      </c>
      <c r="L75" s="227">
        <v>101.0</v>
      </c>
      <c r="M75" s="226">
        <v>1.294871794871795</v>
      </c>
      <c r="N75" s="228">
        <v>0.07920792079207921</v>
      </c>
      <c r="O75" s="227">
        <v>9.0</v>
      </c>
      <c r="P75" s="226">
        <v>0.11538461538461539</v>
      </c>
      <c r="Q75" s="225" t="s">
        <v>1095</v>
      </c>
      <c r="R75" s="228">
        <v>0.47100000000000003</v>
      </c>
      <c r="S75" s="225" t="s">
        <v>1619</v>
      </c>
      <c r="T75" s="227">
        <v>33.0</v>
      </c>
      <c r="U75" s="227">
        <v>16.0</v>
      </c>
      <c r="V75" s="226">
        <v>0.20512820512820512</v>
      </c>
      <c r="W75" s="227">
        <v>94.0</v>
      </c>
      <c r="X75" s="226">
        <v>1.205128205128205</v>
      </c>
      <c r="Y75" s="227"/>
      <c r="Z75" s="228"/>
      <c r="AA75" s="227"/>
      <c r="AB75" s="228">
        <v>0.027999999999999997</v>
      </c>
      <c r="AC75" s="225"/>
      <c r="AD75" s="225"/>
      <c r="AE75" s="227"/>
      <c r="AF75" s="225" t="s">
        <v>1620</v>
      </c>
      <c r="AG75" s="229"/>
    </row>
    <row r="76">
      <c r="A76" s="225" t="s">
        <v>185</v>
      </c>
      <c r="B76" s="225" t="s">
        <v>674</v>
      </c>
      <c r="C76" s="225" t="s">
        <v>48</v>
      </c>
      <c r="D76" s="226">
        <v>21.4</v>
      </c>
      <c r="E76" s="225" t="s">
        <v>815</v>
      </c>
      <c r="F76" s="227">
        <v>1.0</v>
      </c>
      <c r="G76" s="227">
        <v>1.0</v>
      </c>
      <c r="H76" s="227">
        <v>1.0</v>
      </c>
      <c r="I76" s="227">
        <v>2.0</v>
      </c>
      <c r="J76" s="226">
        <v>2.0</v>
      </c>
      <c r="K76" s="226">
        <v>168.0</v>
      </c>
      <c r="L76" s="227">
        <v>1.0</v>
      </c>
      <c r="M76" s="226">
        <v>1.0</v>
      </c>
      <c r="N76" s="228">
        <v>1.0</v>
      </c>
      <c r="O76" s="227">
        <v>0.0</v>
      </c>
      <c r="P76" s="226">
        <v>0.0</v>
      </c>
      <c r="Q76" s="225" t="s">
        <v>877</v>
      </c>
      <c r="R76" s="228"/>
      <c r="S76" s="225" t="s">
        <v>1621</v>
      </c>
      <c r="T76" s="227">
        <v>0.0</v>
      </c>
      <c r="U76" s="227">
        <v>2.0</v>
      </c>
      <c r="V76" s="226">
        <v>2.0</v>
      </c>
      <c r="W76" s="227">
        <v>0.0</v>
      </c>
      <c r="X76" s="226">
        <v>0.0</v>
      </c>
      <c r="Y76" s="227"/>
      <c r="Z76" s="228"/>
      <c r="AA76" s="227"/>
      <c r="AB76" s="228">
        <v>0.336</v>
      </c>
      <c r="AC76" s="225"/>
      <c r="AD76" s="225"/>
      <c r="AE76" s="227"/>
      <c r="AF76" s="225" t="s">
        <v>1622</v>
      </c>
      <c r="AG76" s="229"/>
    </row>
    <row r="77">
      <c r="A77" s="225" t="s">
        <v>228</v>
      </c>
      <c r="B77" s="225" t="s">
        <v>226</v>
      </c>
      <c r="C77" s="225" t="s">
        <v>48</v>
      </c>
      <c r="D77" s="226">
        <v>36.0</v>
      </c>
      <c r="E77" s="225" t="s">
        <v>815</v>
      </c>
      <c r="F77" s="227">
        <v>75.0</v>
      </c>
      <c r="G77" s="227">
        <v>15.0</v>
      </c>
      <c r="H77" s="227">
        <v>51.0</v>
      </c>
      <c r="I77" s="227">
        <v>66.0</v>
      </c>
      <c r="J77" s="226">
        <v>0.88</v>
      </c>
      <c r="K77" s="226">
        <v>73.92</v>
      </c>
      <c r="L77" s="227">
        <v>176.0</v>
      </c>
      <c r="M77" s="226">
        <v>2.3466666666666667</v>
      </c>
      <c r="N77" s="228">
        <v>0.08522727272727272</v>
      </c>
      <c r="O77" s="227">
        <v>26.0</v>
      </c>
      <c r="P77" s="226">
        <v>0.3466666666666667</v>
      </c>
      <c r="Q77" s="225" t="s">
        <v>1394</v>
      </c>
      <c r="R77" s="228">
        <v>0.7090000000000001</v>
      </c>
      <c r="S77" s="225" t="s">
        <v>1623</v>
      </c>
      <c r="T77" s="227">
        <v>22.0</v>
      </c>
      <c r="U77" s="227">
        <v>20.0</v>
      </c>
      <c r="V77" s="226">
        <v>0.26666666666666666</v>
      </c>
      <c r="W77" s="227">
        <v>64.0</v>
      </c>
      <c r="X77" s="226">
        <v>0.8533333333333334</v>
      </c>
      <c r="Y77" s="227"/>
      <c r="Z77" s="228"/>
      <c r="AA77" s="227"/>
      <c r="AB77" s="228">
        <v>0.386</v>
      </c>
      <c r="AC77" s="225"/>
      <c r="AD77" s="225"/>
      <c r="AE77" s="227"/>
      <c r="AF77" s="225" t="s">
        <v>270</v>
      </c>
      <c r="AG77" s="229"/>
    </row>
    <row r="78">
      <c r="A78" s="225" t="s">
        <v>228</v>
      </c>
      <c r="B78" s="225" t="s">
        <v>639</v>
      </c>
      <c r="C78" s="225" t="s">
        <v>48</v>
      </c>
      <c r="D78" s="226">
        <v>28.1</v>
      </c>
      <c r="E78" s="225" t="s">
        <v>13</v>
      </c>
      <c r="F78" s="227">
        <v>60.0</v>
      </c>
      <c r="G78" s="227">
        <v>3.0</v>
      </c>
      <c r="H78" s="227">
        <v>16.0</v>
      </c>
      <c r="I78" s="227">
        <v>19.0</v>
      </c>
      <c r="J78" s="226">
        <v>0.31666666666666665</v>
      </c>
      <c r="K78" s="226">
        <v>26.599999999999998</v>
      </c>
      <c r="L78" s="227">
        <v>41.0</v>
      </c>
      <c r="M78" s="226">
        <v>0.6833333333333333</v>
      </c>
      <c r="N78" s="228">
        <v>0.07317073170731707</v>
      </c>
      <c r="O78" s="227">
        <v>0.0</v>
      </c>
      <c r="P78" s="226">
        <v>0.0</v>
      </c>
      <c r="Q78" s="225" t="s">
        <v>883</v>
      </c>
      <c r="R78" s="228">
        <v>0.017</v>
      </c>
      <c r="S78" s="225" t="s">
        <v>1046</v>
      </c>
      <c r="T78" s="227">
        <v>23.0</v>
      </c>
      <c r="U78" s="227">
        <v>21.0</v>
      </c>
      <c r="V78" s="226">
        <v>0.35</v>
      </c>
      <c r="W78" s="227">
        <v>58.0</v>
      </c>
      <c r="X78" s="226">
        <v>0.9666666666666667</v>
      </c>
      <c r="Y78" s="227"/>
      <c r="Z78" s="228"/>
      <c r="AA78" s="227"/>
      <c r="AB78" s="228">
        <v>0.21</v>
      </c>
      <c r="AC78" s="225"/>
      <c r="AD78" s="225"/>
      <c r="AE78" s="227"/>
      <c r="AF78" s="225" t="s">
        <v>349</v>
      </c>
      <c r="AG78" s="229"/>
    </row>
    <row r="79">
      <c r="A79" s="225" t="s">
        <v>228</v>
      </c>
      <c r="B79" s="225" t="s">
        <v>451</v>
      </c>
      <c r="C79" s="225" t="s">
        <v>48</v>
      </c>
      <c r="D79" s="226">
        <v>39.2</v>
      </c>
      <c r="E79" s="225" t="s">
        <v>815</v>
      </c>
      <c r="F79" s="227">
        <v>74.0</v>
      </c>
      <c r="G79" s="227">
        <v>3.0</v>
      </c>
      <c r="H79" s="227">
        <v>31.0</v>
      </c>
      <c r="I79" s="227">
        <v>34.0</v>
      </c>
      <c r="J79" s="226">
        <v>0.4594594594594595</v>
      </c>
      <c r="K79" s="226">
        <v>38.5945945945946</v>
      </c>
      <c r="L79" s="227">
        <v>104.0</v>
      </c>
      <c r="M79" s="226">
        <v>1.4054054054054055</v>
      </c>
      <c r="N79" s="228">
        <v>0.028846153846153848</v>
      </c>
      <c r="O79" s="227">
        <v>10.0</v>
      </c>
      <c r="P79" s="226">
        <v>0.13513513513513514</v>
      </c>
      <c r="Q79" s="225" t="s">
        <v>1301</v>
      </c>
      <c r="R79" s="228">
        <v>0.326</v>
      </c>
      <c r="S79" s="225" t="s">
        <v>1624</v>
      </c>
      <c r="T79" s="227">
        <v>38.0</v>
      </c>
      <c r="U79" s="227">
        <v>95.0</v>
      </c>
      <c r="V79" s="226">
        <v>1.2837837837837838</v>
      </c>
      <c r="W79" s="227">
        <v>94.0</v>
      </c>
      <c r="X79" s="226">
        <v>1.2702702702702702</v>
      </c>
      <c r="Y79" s="227"/>
      <c r="Z79" s="228"/>
      <c r="AA79" s="227"/>
      <c r="AB79" s="228">
        <v>0.233</v>
      </c>
      <c r="AC79" s="225"/>
      <c r="AD79" s="225"/>
      <c r="AE79" s="227"/>
      <c r="AF79" s="225" t="s">
        <v>1583</v>
      </c>
      <c r="AG79" s="229"/>
    </row>
    <row r="80">
      <c r="A80" s="225" t="s">
        <v>269</v>
      </c>
      <c r="B80" s="225" t="s">
        <v>268</v>
      </c>
      <c r="C80" s="225" t="s">
        <v>48</v>
      </c>
      <c r="D80" s="226">
        <v>29.6</v>
      </c>
      <c r="E80" s="225" t="s">
        <v>13</v>
      </c>
      <c r="F80" s="227">
        <v>81.0</v>
      </c>
      <c r="G80" s="227">
        <v>11.0</v>
      </c>
      <c r="H80" s="227">
        <v>33.0</v>
      </c>
      <c r="I80" s="227">
        <v>44.0</v>
      </c>
      <c r="J80" s="226">
        <v>0.5432098765432098</v>
      </c>
      <c r="K80" s="226">
        <v>45.629629629629626</v>
      </c>
      <c r="L80" s="227">
        <v>179.0</v>
      </c>
      <c r="M80" s="226">
        <v>2.2098765432098766</v>
      </c>
      <c r="N80" s="228">
        <v>0.061452513966480445</v>
      </c>
      <c r="O80" s="227">
        <v>21.0</v>
      </c>
      <c r="P80" s="226">
        <v>0.25925925925925924</v>
      </c>
      <c r="Q80" s="225" t="s">
        <v>871</v>
      </c>
      <c r="R80" s="228">
        <v>0.62</v>
      </c>
      <c r="S80" s="225" t="s">
        <v>1625</v>
      </c>
      <c r="T80" s="227">
        <v>54.0</v>
      </c>
      <c r="U80" s="227">
        <v>27.0</v>
      </c>
      <c r="V80" s="226">
        <v>0.3333333333333333</v>
      </c>
      <c r="W80" s="227">
        <v>86.0</v>
      </c>
      <c r="X80" s="226">
        <v>1.0617283950617284</v>
      </c>
      <c r="Y80" s="227"/>
      <c r="Z80" s="228"/>
      <c r="AA80" s="227"/>
      <c r="AB80" s="228">
        <v>0.019</v>
      </c>
      <c r="AC80" s="225"/>
      <c r="AD80" s="225"/>
      <c r="AE80" s="227"/>
      <c r="AF80" s="225" t="s">
        <v>1626</v>
      </c>
      <c r="AG80" s="229"/>
    </row>
    <row r="81">
      <c r="A81" s="225" t="s">
        <v>269</v>
      </c>
      <c r="B81" s="225" t="s">
        <v>1627</v>
      </c>
      <c r="C81" s="225" t="s">
        <v>48</v>
      </c>
      <c r="D81" s="226">
        <v>33.6</v>
      </c>
      <c r="E81" s="225" t="s">
        <v>815</v>
      </c>
      <c r="F81" s="227">
        <v>82.0</v>
      </c>
      <c r="G81" s="227">
        <v>7.0</v>
      </c>
      <c r="H81" s="227">
        <v>18.0</v>
      </c>
      <c r="I81" s="227">
        <v>25.0</v>
      </c>
      <c r="J81" s="226">
        <v>0.3048780487804878</v>
      </c>
      <c r="K81" s="226">
        <v>25.609756097560975</v>
      </c>
      <c r="L81" s="227">
        <v>106.0</v>
      </c>
      <c r="M81" s="226">
        <v>1.2926829268292683</v>
      </c>
      <c r="N81" s="228">
        <v>0.0660377358490566</v>
      </c>
      <c r="O81" s="227">
        <v>0.0</v>
      </c>
      <c r="P81" s="226">
        <v>0.0</v>
      </c>
      <c r="Q81" s="225" t="s">
        <v>1526</v>
      </c>
      <c r="R81" s="228">
        <v>0.013999999999999999</v>
      </c>
      <c r="S81" s="225" t="s">
        <v>1628</v>
      </c>
      <c r="T81" s="227">
        <v>42.0</v>
      </c>
      <c r="U81" s="227">
        <v>110.0</v>
      </c>
      <c r="V81" s="226">
        <v>1.3414634146341464</v>
      </c>
      <c r="W81" s="227">
        <v>163.0</v>
      </c>
      <c r="X81" s="226">
        <v>1.9878048780487805</v>
      </c>
      <c r="Y81" s="227"/>
      <c r="Z81" s="228"/>
      <c r="AA81" s="227"/>
      <c r="AB81" s="228">
        <v>0.624</v>
      </c>
      <c r="AC81" s="225"/>
      <c r="AD81" s="225"/>
      <c r="AE81" s="227"/>
      <c r="AF81" s="225" t="s">
        <v>213</v>
      </c>
      <c r="AG81" s="229"/>
    </row>
    <row r="82">
      <c r="A82" s="225" t="s">
        <v>269</v>
      </c>
      <c r="B82" s="225" t="s">
        <v>657</v>
      </c>
      <c r="C82" s="225" t="s">
        <v>48</v>
      </c>
      <c r="D82" s="226">
        <v>24.5</v>
      </c>
      <c r="E82" s="225" t="s">
        <v>13</v>
      </c>
      <c r="F82" s="227">
        <v>67.0</v>
      </c>
      <c r="G82" s="227">
        <v>8.0</v>
      </c>
      <c r="H82" s="227">
        <v>9.0</v>
      </c>
      <c r="I82" s="227">
        <v>17.0</v>
      </c>
      <c r="J82" s="226">
        <v>0.2537313432835821</v>
      </c>
      <c r="K82" s="226">
        <v>21.313432835820898</v>
      </c>
      <c r="L82" s="227">
        <v>46.0</v>
      </c>
      <c r="M82" s="226">
        <v>0.6865671641791045</v>
      </c>
      <c r="N82" s="228">
        <v>0.17391304347826086</v>
      </c>
      <c r="O82" s="227">
        <v>1.0</v>
      </c>
      <c r="P82" s="226">
        <v>0.014925373134328358</v>
      </c>
      <c r="Q82" s="225" t="s">
        <v>1629</v>
      </c>
      <c r="R82" s="228">
        <v>0.08199999999999999</v>
      </c>
      <c r="S82" s="225" t="s">
        <v>1630</v>
      </c>
      <c r="T82" s="227">
        <v>40.0</v>
      </c>
      <c r="U82" s="227">
        <v>48.0</v>
      </c>
      <c r="V82" s="226">
        <v>0.7164179104477612</v>
      </c>
      <c r="W82" s="227">
        <v>75.0</v>
      </c>
      <c r="X82" s="226">
        <v>1.1194029850746268</v>
      </c>
      <c r="Y82" s="227"/>
      <c r="Z82" s="228"/>
      <c r="AA82" s="227"/>
      <c r="AB82" s="228">
        <v>0.23399999999999999</v>
      </c>
      <c r="AC82" s="225"/>
      <c r="AD82" s="225"/>
      <c r="AE82" s="227"/>
      <c r="AF82" s="225" t="s">
        <v>1631</v>
      </c>
      <c r="AG82" s="229"/>
    </row>
    <row r="83">
      <c r="A83" s="225" t="s">
        <v>269</v>
      </c>
      <c r="B83" s="225" t="s">
        <v>378</v>
      </c>
      <c r="C83" s="225" t="s">
        <v>48</v>
      </c>
      <c r="D83" s="226">
        <v>32.2</v>
      </c>
      <c r="E83" s="225" t="s">
        <v>815</v>
      </c>
      <c r="F83" s="227">
        <v>64.0</v>
      </c>
      <c r="G83" s="227">
        <v>11.0</v>
      </c>
      <c r="H83" s="227">
        <v>21.0</v>
      </c>
      <c r="I83" s="227">
        <v>32.0</v>
      </c>
      <c r="J83" s="226">
        <v>0.5</v>
      </c>
      <c r="K83" s="226">
        <v>42.0</v>
      </c>
      <c r="L83" s="227">
        <v>174.0</v>
      </c>
      <c r="M83" s="226">
        <v>2.71875</v>
      </c>
      <c r="N83" s="228">
        <v>0.06321839080459771</v>
      </c>
      <c r="O83" s="227">
        <v>8.0</v>
      </c>
      <c r="P83" s="226">
        <v>0.125</v>
      </c>
      <c r="Q83" s="225" t="s">
        <v>1040</v>
      </c>
      <c r="R83" s="228">
        <v>0.40299999999999997</v>
      </c>
      <c r="S83" s="225" t="s">
        <v>1632</v>
      </c>
      <c r="T83" s="227">
        <v>45.0</v>
      </c>
      <c r="U83" s="227">
        <v>75.0</v>
      </c>
      <c r="V83" s="226">
        <v>1.171875</v>
      </c>
      <c r="W83" s="227">
        <v>78.0</v>
      </c>
      <c r="X83" s="226">
        <v>1.21875</v>
      </c>
      <c r="Y83" s="227"/>
      <c r="Z83" s="228"/>
      <c r="AA83" s="227"/>
      <c r="AB83" s="228">
        <v>0.092</v>
      </c>
      <c r="AC83" s="225"/>
      <c r="AD83" s="225"/>
      <c r="AE83" s="227"/>
      <c r="AF83" s="225" t="s">
        <v>889</v>
      </c>
      <c r="AG83" s="229"/>
    </row>
    <row r="84">
      <c r="A84" s="225" t="s">
        <v>269</v>
      </c>
      <c r="B84" s="225" t="s">
        <v>681</v>
      </c>
      <c r="C84" s="225"/>
      <c r="D84" s="226"/>
      <c r="E84" s="225"/>
      <c r="F84" s="227"/>
      <c r="G84" s="227"/>
      <c r="H84" s="227"/>
      <c r="I84" s="227"/>
      <c r="J84" s="226"/>
      <c r="K84" s="226"/>
      <c r="L84" s="227"/>
      <c r="M84" s="226"/>
      <c r="N84" s="228"/>
      <c r="O84" s="227"/>
      <c r="P84" s="226"/>
      <c r="Q84" s="225"/>
      <c r="R84" s="228"/>
      <c r="S84" s="225"/>
      <c r="T84" s="227"/>
      <c r="U84" s="227"/>
      <c r="V84" s="226"/>
      <c r="W84" s="227"/>
      <c r="X84" s="226"/>
      <c r="Y84" s="227"/>
      <c r="Z84" s="228"/>
      <c r="AA84" s="227"/>
      <c r="AB84" s="228"/>
      <c r="AC84" s="225"/>
      <c r="AD84" s="225"/>
      <c r="AE84" s="227"/>
      <c r="AF84" s="225"/>
      <c r="AG84" s="229"/>
    </row>
    <row r="85">
      <c r="A85" s="225" t="s">
        <v>96</v>
      </c>
      <c r="B85" s="225" t="s">
        <v>394</v>
      </c>
      <c r="C85" s="225" t="s">
        <v>48</v>
      </c>
      <c r="D85" s="226">
        <v>34.9</v>
      </c>
      <c r="E85" s="225" t="s">
        <v>13</v>
      </c>
      <c r="F85" s="227">
        <v>82.0</v>
      </c>
      <c r="G85" s="227">
        <v>3.0</v>
      </c>
      <c r="H85" s="227">
        <v>34.0</v>
      </c>
      <c r="I85" s="227">
        <v>37.0</v>
      </c>
      <c r="J85" s="226">
        <v>0.45121951219512196</v>
      </c>
      <c r="K85" s="226">
        <v>37.90243902439025</v>
      </c>
      <c r="L85" s="227">
        <v>91.0</v>
      </c>
      <c r="M85" s="226">
        <v>1.1097560975609757</v>
      </c>
      <c r="N85" s="228">
        <v>0.03296703296703297</v>
      </c>
      <c r="O85" s="227">
        <v>18.0</v>
      </c>
      <c r="P85" s="226">
        <v>0.21951219512195122</v>
      </c>
      <c r="Q85" s="225" t="s">
        <v>1633</v>
      </c>
      <c r="R85" s="228">
        <v>0.48100000000000004</v>
      </c>
      <c r="S85" s="225" t="s">
        <v>1485</v>
      </c>
      <c r="T85" s="227">
        <v>48.0</v>
      </c>
      <c r="U85" s="227">
        <v>123.0</v>
      </c>
      <c r="V85" s="226">
        <v>1.5</v>
      </c>
      <c r="W85" s="227">
        <v>77.0</v>
      </c>
      <c r="X85" s="226">
        <v>0.9390243902439024</v>
      </c>
      <c r="Y85" s="227"/>
      <c r="Z85" s="228"/>
      <c r="AA85" s="227"/>
      <c r="AB85" s="228">
        <v>0.155</v>
      </c>
      <c r="AC85" s="225"/>
      <c r="AD85" s="225"/>
      <c r="AE85" s="227"/>
      <c r="AF85" s="225" t="s">
        <v>288</v>
      </c>
      <c r="AG85" s="229"/>
    </row>
    <row r="86">
      <c r="A86" s="225" t="s">
        <v>96</v>
      </c>
      <c r="B86" s="225" t="s">
        <v>579</v>
      </c>
      <c r="C86" s="225" t="s">
        <v>48</v>
      </c>
      <c r="D86" s="226">
        <v>32.3</v>
      </c>
      <c r="E86" s="225" t="s">
        <v>815</v>
      </c>
      <c r="F86" s="227">
        <v>81.0</v>
      </c>
      <c r="G86" s="227">
        <v>10.0</v>
      </c>
      <c r="H86" s="227">
        <v>25.0</v>
      </c>
      <c r="I86" s="227">
        <v>35.0</v>
      </c>
      <c r="J86" s="226">
        <v>0.43209876543209874</v>
      </c>
      <c r="K86" s="226">
        <v>36.2962962962963</v>
      </c>
      <c r="L86" s="227">
        <v>166.0</v>
      </c>
      <c r="M86" s="226">
        <v>2.049382716049383</v>
      </c>
      <c r="N86" s="228">
        <v>0.060240963855421686</v>
      </c>
      <c r="O86" s="227">
        <v>1.0</v>
      </c>
      <c r="P86" s="226">
        <v>0.012345679012345678</v>
      </c>
      <c r="Q86" s="225" t="s">
        <v>1563</v>
      </c>
      <c r="R86" s="228">
        <v>0.128</v>
      </c>
      <c r="S86" s="225" t="s">
        <v>1521</v>
      </c>
      <c r="T86" s="227">
        <v>31.0</v>
      </c>
      <c r="U86" s="227">
        <v>143.0</v>
      </c>
      <c r="V86" s="226">
        <v>1.7654320987654322</v>
      </c>
      <c r="W86" s="227">
        <v>149.0</v>
      </c>
      <c r="X86" s="226">
        <v>1.8395061728395061</v>
      </c>
      <c r="Y86" s="227"/>
      <c r="Z86" s="228"/>
      <c r="AA86" s="227"/>
      <c r="AB86" s="228">
        <v>0.594</v>
      </c>
      <c r="AC86" s="225"/>
      <c r="AD86" s="225"/>
      <c r="AE86" s="227"/>
      <c r="AF86" s="225" t="s">
        <v>1181</v>
      </c>
      <c r="AG86" s="229"/>
    </row>
    <row r="87">
      <c r="A87" s="225" t="s">
        <v>96</v>
      </c>
      <c r="B87" s="225" t="s">
        <v>439</v>
      </c>
      <c r="C87" s="225" t="s">
        <v>48</v>
      </c>
      <c r="D87" s="226">
        <v>31.4</v>
      </c>
      <c r="E87" s="225" t="s">
        <v>13</v>
      </c>
      <c r="F87" s="227">
        <v>82.0</v>
      </c>
      <c r="G87" s="227">
        <v>7.0</v>
      </c>
      <c r="H87" s="227">
        <v>17.0</v>
      </c>
      <c r="I87" s="227">
        <v>24.0</v>
      </c>
      <c r="J87" s="226">
        <v>0.2926829268292683</v>
      </c>
      <c r="K87" s="226">
        <v>24.585365853658534</v>
      </c>
      <c r="L87" s="227">
        <v>164.0</v>
      </c>
      <c r="M87" s="226">
        <v>2.0</v>
      </c>
      <c r="N87" s="228">
        <v>0.042682926829268296</v>
      </c>
      <c r="O87" s="227">
        <v>0.0</v>
      </c>
      <c r="P87" s="226">
        <v>0.0</v>
      </c>
      <c r="Q87" s="225" t="s">
        <v>1560</v>
      </c>
      <c r="R87" s="228">
        <v>0.057</v>
      </c>
      <c r="S87" s="225" t="s">
        <v>1634</v>
      </c>
      <c r="T87" s="227">
        <v>104.0</v>
      </c>
      <c r="U87" s="227">
        <v>137.0</v>
      </c>
      <c r="V87" s="226">
        <v>1.670731707317073</v>
      </c>
      <c r="W87" s="227">
        <v>167.0</v>
      </c>
      <c r="X87" s="226">
        <v>2.0365853658536586</v>
      </c>
      <c r="Y87" s="227"/>
      <c r="Z87" s="228"/>
      <c r="AA87" s="227"/>
      <c r="AB87" s="228">
        <v>0.34</v>
      </c>
      <c r="AC87" s="225"/>
      <c r="AD87" s="225"/>
      <c r="AE87" s="227"/>
      <c r="AF87" s="225" t="s">
        <v>1635</v>
      </c>
      <c r="AG87" s="229"/>
    </row>
    <row r="88">
      <c r="A88" s="225" t="s">
        <v>96</v>
      </c>
      <c r="B88" s="225" t="s">
        <v>664</v>
      </c>
      <c r="C88" s="225" t="s">
        <v>48</v>
      </c>
      <c r="D88" s="226">
        <v>20.0</v>
      </c>
      <c r="E88" s="225" t="s">
        <v>13</v>
      </c>
      <c r="F88" s="227">
        <v>72.0</v>
      </c>
      <c r="G88" s="227">
        <v>1.0</v>
      </c>
      <c r="H88" s="227">
        <v>13.0</v>
      </c>
      <c r="I88" s="227">
        <v>14.0</v>
      </c>
      <c r="J88" s="226">
        <v>0.19444444444444445</v>
      </c>
      <c r="K88" s="226">
        <v>16.333333333333332</v>
      </c>
      <c r="L88" s="227">
        <v>72.0</v>
      </c>
      <c r="M88" s="226">
        <v>1.0</v>
      </c>
      <c r="N88" s="228">
        <v>0.013888888888888888</v>
      </c>
      <c r="O88" s="227">
        <v>0.0</v>
      </c>
      <c r="P88" s="226">
        <v>0.0</v>
      </c>
      <c r="Q88" s="225" t="s">
        <v>1217</v>
      </c>
      <c r="R88" s="228">
        <v>0.06</v>
      </c>
      <c r="S88" s="225" t="s">
        <v>991</v>
      </c>
      <c r="T88" s="227">
        <v>22.0</v>
      </c>
      <c r="U88" s="227">
        <v>74.0</v>
      </c>
      <c r="V88" s="226">
        <v>1.0277777777777777</v>
      </c>
      <c r="W88" s="227">
        <v>70.0</v>
      </c>
      <c r="X88" s="226">
        <v>0.9722222222222222</v>
      </c>
      <c r="Y88" s="227"/>
      <c r="Z88" s="228"/>
      <c r="AA88" s="227"/>
      <c r="AB88" s="228">
        <v>0.17600000000000002</v>
      </c>
      <c r="AC88" s="225"/>
      <c r="AD88" s="225"/>
      <c r="AE88" s="227"/>
      <c r="AF88" s="225" t="s">
        <v>1636</v>
      </c>
      <c r="AG88" s="229"/>
    </row>
    <row r="89">
      <c r="A89" s="225" t="s">
        <v>145</v>
      </c>
      <c r="B89" s="225" t="s">
        <v>310</v>
      </c>
      <c r="C89" s="225" t="s">
        <v>48</v>
      </c>
      <c r="D89" s="226">
        <v>25.0</v>
      </c>
      <c r="E89" s="225" t="s">
        <v>13</v>
      </c>
      <c r="F89" s="227">
        <v>81.0</v>
      </c>
      <c r="G89" s="227">
        <v>6.0</v>
      </c>
      <c r="H89" s="227">
        <v>28.0</v>
      </c>
      <c r="I89" s="227">
        <v>34.0</v>
      </c>
      <c r="J89" s="226">
        <v>0.41975308641975306</v>
      </c>
      <c r="K89" s="226">
        <v>35.25925925925926</v>
      </c>
      <c r="L89" s="227">
        <v>98.0</v>
      </c>
      <c r="M89" s="226">
        <v>1.2098765432098766</v>
      </c>
      <c r="N89" s="228">
        <v>0.061224489795918366</v>
      </c>
      <c r="O89" s="227">
        <v>5.0</v>
      </c>
      <c r="P89" s="226">
        <v>0.06172839506172839</v>
      </c>
      <c r="Q89" s="225" t="s">
        <v>1456</v>
      </c>
      <c r="R89" s="228">
        <v>0.271</v>
      </c>
      <c r="S89" s="225" t="s">
        <v>1637</v>
      </c>
      <c r="T89" s="227">
        <v>16.0</v>
      </c>
      <c r="U89" s="227">
        <v>35.0</v>
      </c>
      <c r="V89" s="226">
        <v>0.43209876543209874</v>
      </c>
      <c r="W89" s="227">
        <v>98.0</v>
      </c>
      <c r="X89" s="226">
        <v>1.2098765432098766</v>
      </c>
      <c r="Y89" s="227"/>
      <c r="Z89" s="228"/>
      <c r="AA89" s="227"/>
      <c r="AB89" s="228">
        <v>0.5670000000000001</v>
      </c>
      <c r="AC89" s="225"/>
      <c r="AD89" s="225"/>
      <c r="AE89" s="227"/>
      <c r="AF89" s="225" t="s">
        <v>1638</v>
      </c>
      <c r="AG89" s="229"/>
    </row>
    <row r="90">
      <c r="A90" s="225" t="s">
        <v>145</v>
      </c>
      <c r="B90" s="225" t="s">
        <v>558</v>
      </c>
      <c r="C90" s="225" t="s">
        <v>48</v>
      </c>
      <c r="D90" s="226">
        <v>23.2</v>
      </c>
      <c r="E90" s="225" t="s">
        <v>815</v>
      </c>
      <c r="F90" s="227">
        <v>67.0</v>
      </c>
      <c r="G90" s="227">
        <v>5.0</v>
      </c>
      <c r="H90" s="227">
        <v>8.0</v>
      </c>
      <c r="I90" s="227">
        <v>13.0</v>
      </c>
      <c r="J90" s="226">
        <v>0.19402985074626866</v>
      </c>
      <c r="K90" s="226">
        <v>16.29850746268657</v>
      </c>
      <c r="L90" s="227">
        <v>81.0</v>
      </c>
      <c r="M90" s="226">
        <v>1.208955223880597</v>
      </c>
      <c r="N90" s="228">
        <v>0.06172839506172839</v>
      </c>
      <c r="O90" s="227">
        <v>2.0</v>
      </c>
      <c r="P90" s="226">
        <v>0.029850746268656716</v>
      </c>
      <c r="Q90" s="225" t="s">
        <v>1487</v>
      </c>
      <c r="R90" s="228">
        <v>0.138</v>
      </c>
      <c r="S90" s="225" t="s">
        <v>1320</v>
      </c>
      <c r="T90" s="227">
        <v>48.0</v>
      </c>
      <c r="U90" s="227">
        <v>93.0</v>
      </c>
      <c r="V90" s="226">
        <v>1.3880597014925373</v>
      </c>
      <c r="W90" s="227">
        <v>56.0</v>
      </c>
      <c r="X90" s="226">
        <v>0.835820895522388</v>
      </c>
      <c r="Y90" s="227"/>
      <c r="Z90" s="228"/>
      <c r="AA90" s="227"/>
      <c r="AB90" s="228">
        <v>0.149</v>
      </c>
      <c r="AC90" s="225"/>
      <c r="AD90" s="225"/>
      <c r="AE90" s="227"/>
      <c r="AF90" s="225" t="s">
        <v>927</v>
      </c>
      <c r="AG90" s="229"/>
    </row>
    <row r="91">
      <c r="A91" s="225" t="s">
        <v>145</v>
      </c>
      <c r="B91" s="225" t="s">
        <v>463</v>
      </c>
      <c r="C91" s="225" t="s">
        <v>48</v>
      </c>
      <c r="D91" s="226">
        <v>34.5</v>
      </c>
      <c r="E91" s="225" t="s">
        <v>13</v>
      </c>
      <c r="F91" s="227">
        <v>82.0</v>
      </c>
      <c r="G91" s="227">
        <v>4.0</v>
      </c>
      <c r="H91" s="227">
        <v>26.0</v>
      </c>
      <c r="I91" s="227">
        <v>30.0</v>
      </c>
      <c r="J91" s="226">
        <v>0.36585365853658536</v>
      </c>
      <c r="K91" s="226">
        <v>30.73170731707317</v>
      </c>
      <c r="L91" s="227">
        <v>91.0</v>
      </c>
      <c r="M91" s="226">
        <v>1.1097560975609757</v>
      </c>
      <c r="N91" s="228">
        <v>0.04395604395604396</v>
      </c>
      <c r="O91" s="227">
        <v>9.0</v>
      </c>
      <c r="P91" s="226">
        <v>0.10975609756097561</v>
      </c>
      <c r="Q91" s="225" t="s">
        <v>1265</v>
      </c>
      <c r="R91" s="228">
        <v>0.35600000000000004</v>
      </c>
      <c r="S91" s="225" t="s">
        <v>1639</v>
      </c>
      <c r="T91" s="227">
        <v>14.0</v>
      </c>
      <c r="U91" s="227">
        <v>9.0</v>
      </c>
      <c r="V91" s="226">
        <v>0.10975609756097561</v>
      </c>
      <c r="W91" s="227">
        <v>72.0</v>
      </c>
      <c r="X91" s="226">
        <v>0.8780487804878049</v>
      </c>
      <c r="Y91" s="227"/>
      <c r="Z91" s="228"/>
      <c r="AA91" s="227"/>
      <c r="AB91" s="228">
        <v>0.264</v>
      </c>
      <c r="AC91" s="225"/>
      <c r="AD91" s="225"/>
      <c r="AE91" s="227"/>
      <c r="AF91" s="225" t="s">
        <v>288</v>
      </c>
      <c r="AG91" s="229"/>
    </row>
    <row r="92">
      <c r="A92" s="225" t="s">
        <v>124</v>
      </c>
      <c r="B92" s="225" t="s">
        <v>575</v>
      </c>
      <c r="C92" s="225" t="s">
        <v>48</v>
      </c>
      <c r="D92" s="226">
        <v>26.0</v>
      </c>
      <c r="E92" s="225" t="s">
        <v>13</v>
      </c>
      <c r="F92" s="227">
        <v>79.0</v>
      </c>
      <c r="G92" s="227">
        <v>7.0</v>
      </c>
      <c r="H92" s="227">
        <v>22.0</v>
      </c>
      <c r="I92" s="227">
        <v>29.0</v>
      </c>
      <c r="J92" s="226">
        <v>0.3670886075949367</v>
      </c>
      <c r="K92" s="226">
        <v>30.835443037974684</v>
      </c>
      <c r="L92" s="227">
        <v>111.0</v>
      </c>
      <c r="M92" s="226">
        <v>1.4050632911392404</v>
      </c>
      <c r="N92" s="228">
        <v>0.06306306306306306</v>
      </c>
      <c r="O92" s="227">
        <v>1.0</v>
      </c>
      <c r="P92" s="226">
        <v>0.012658227848101266</v>
      </c>
      <c r="Q92" s="225" t="s">
        <v>883</v>
      </c>
      <c r="R92" s="228">
        <v>0.016</v>
      </c>
      <c r="S92" s="225" t="s">
        <v>1640</v>
      </c>
      <c r="T92" s="227">
        <v>69.0</v>
      </c>
      <c r="U92" s="227">
        <v>61.0</v>
      </c>
      <c r="V92" s="226">
        <v>0.7721518987341772</v>
      </c>
      <c r="W92" s="227">
        <v>91.0</v>
      </c>
      <c r="X92" s="226">
        <v>1.1518987341772151</v>
      </c>
      <c r="Y92" s="227"/>
      <c r="Z92" s="228"/>
      <c r="AA92" s="227"/>
      <c r="AB92" s="228">
        <v>0.505</v>
      </c>
      <c r="AC92" s="225"/>
      <c r="AD92" s="225"/>
      <c r="AE92" s="227"/>
      <c r="AF92" s="225" t="s">
        <v>902</v>
      </c>
      <c r="AG92" s="229"/>
    </row>
    <row r="93">
      <c r="A93" s="225" t="s">
        <v>124</v>
      </c>
      <c r="B93" s="225" t="s">
        <v>217</v>
      </c>
      <c r="C93" s="225" t="s">
        <v>48</v>
      </c>
      <c r="D93" s="226">
        <v>36.4</v>
      </c>
      <c r="E93" s="225" t="s">
        <v>815</v>
      </c>
      <c r="F93" s="227">
        <v>71.0</v>
      </c>
      <c r="G93" s="227">
        <v>14.0</v>
      </c>
      <c r="H93" s="227">
        <v>46.0</v>
      </c>
      <c r="I93" s="227">
        <v>60.0</v>
      </c>
      <c r="J93" s="226">
        <v>0.8450704225352113</v>
      </c>
      <c r="K93" s="226">
        <v>70.98591549295774</v>
      </c>
      <c r="L93" s="227">
        <v>153.0</v>
      </c>
      <c r="M93" s="226">
        <v>2.1549295774647885</v>
      </c>
      <c r="N93" s="228">
        <v>0.0915032679738562</v>
      </c>
      <c r="O93" s="227">
        <v>14.0</v>
      </c>
      <c r="P93" s="226">
        <v>0.19718309859154928</v>
      </c>
      <c r="Q93" s="225" t="s">
        <v>1546</v>
      </c>
      <c r="R93" s="228">
        <v>0.523</v>
      </c>
      <c r="S93" s="225" t="s">
        <v>1641</v>
      </c>
      <c r="T93" s="227">
        <v>32.0</v>
      </c>
      <c r="U93" s="227">
        <v>26.0</v>
      </c>
      <c r="V93" s="226">
        <v>0.36619718309859156</v>
      </c>
      <c r="W93" s="227">
        <v>106.0</v>
      </c>
      <c r="X93" s="226">
        <v>1.4929577464788732</v>
      </c>
      <c r="Y93" s="227"/>
      <c r="Z93" s="228"/>
      <c r="AA93" s="227"/>
      <c r="AB93" s="228">
        <v>0.47200000000000003</v>
      </c>
      <c r="AC93" s="225"/>
      <c r="AD93" s="225"/>
      <c r="AE93" s="227"/>
      <c r="AF93" s="225" t="s">
        <v>1181</v>
      </c>
      <c r="AG93" s="229"/>
    </row>
    <row r="94">
      <c r="A94" s="225" t="s">
        <v>124</v>
      </c>
      <c r="B94" s="225" t="s">
        <v>521</v>
      </c>
      <c r="C94" s="225" t="s">
        <v>48</v>
      </c>
      <c r="D94" s="226">
        <v>28.2</v>
      </c>
      <c r="E94" s="225" t="s">
        <v>13</v>
      </c>
      <c r="F94" s="227">
        <v>70.0</v>
      </c>
      <c r="G94" s="227">
        <v>6.0</v>
      </c>
      <c r="H94" s="227">
        <v>23.0</v>
      </c>
      <c r="I94" s="227">
        <v>29.0</v>
      </c>
      <c r="J94" s="226">
        <v>0.4142857142857143</v>
      </c>
      <c r="K94" s="226">
        <v>34.800000000000004</v>
      </c>
      <c r="L94" s="227">
        <v>80.0</v>
      </c>
      <c r="M94" s="226">
        <v>1.1428571428571428</v>
      </c>
      <c r="N94" s="228">
        <v>0.075</v>
      </c>
      <c r="O94" s="227">
        <v>2.0</v>
      </c>
      <c r="P94" s="226">
        <v>0.02857142857142857</v>
      </c>
      <c r="Q94" s="225" t="s">
        <v>1388</v>
      </c>
      <c r="R94" s="228">
        <v>0.191</v>
      </c>
      <c r="S94" s="225" t="s">
        <v>1579</v>
      </c>
      <c r="T94" s="227">
        <v>112.0</v>
      </c>
      <c r="U94" s="227">
        <v>96.0</v>
      </c>
      <c r="V94" s="226">
        <v>1.3714285714285714</v>
      </c>
      <c r="W94" s="227">
        <v>74.0</v>
      </c>
      <c r="X94" s="226">
        <v>1.0571428571428572</v>
      </c>
      <c r="Y94" s="227"/>
      <c r="Z94" s="228"/>
      <c r="AA94" s="227"/>
      <c r="AB94" s="228">
        <v>0.08800000000000001</v>
      </c>
      <c r="AC94" s="225"/>
      <c r="AD94" s="225"/>
      <c r="AE94" s="227"/>
      <c r="AF94" s="225" t="s">
        <v>240</v>
      </c>
      <c r="AG94" s="229"/>
    </row>
    <row r="95">
      <c r="A95" s="225" t="s">
        <v>124</v>
      </c>
      <c r="B95" s="225" t="s">
        <v>339</v>
      </c>
      <c r="C95" s="225" t="s">
        <v>48</v>
      </c>
      <c r="D95" s="226">
        <v>35.5</v>
      </c>
      <c r="E95" s="225" t="s">
        <v>13</v>
      </c>
      <c r="F95" s="227">
        <v>33.0</v>
      </c>
      <c r="G95" s="227">
        <v>1.0</v>
      </c>
      <c r="H95" s="227">
        <v>16.0</v>
      </c>
      <c r="I95" s="227">
        <v>17.0</v>
      </c>
      <c r="J95" s="226">
        <v>0.5151515151515151</v>
      </c>
      <c r="K95" s="226">
        <v>43.27272727272727</v>
      </c>
      <c r="L95" s="227">
        <v>50.0</v>
      </c>
      <c r="M95" s="226">
        <v>1.5151515151515151</v>
      </c>
      <c r="N95" s="228">
        <v>0.02</v>
      </c>
      <c r="O95" s="227">
        <v>6.0</v>
      </c>
      <c r="P95" s="226">
        <v>0.18181818181818182</v>
      </c>
      <c r="Q95" s="225" t="s">
        <v>1193</v>
      </c>
      <c r="R95" s="228">
        <v>0.44</v>
      </c>
      <c r="S95" s="225" t="s">
        <v>1642</v>
      </c>
      <c r="T95" s="227">
        <v>10.0</v>
      </c>
      <c r="U95" s="227">
        <v>19.0</v>
      </c>
      <c r="V95" s="226">
        <v>0.5757575757575758</v>
      </c>
      <c r="W95" s="227">
        <v>44.0</v>
      </c>
      <c r="X95" s="226">
        <v>1.3333333333333333</v>
      </c>
      <c r="Y95" s="227"/>
      <c r="Z95" s="228"/>
      <c r="AA95" s="227"/>
      <c r="AB95" s="228">
        <v>0.37</v>
      </c>
      <c r="AC95" s="225"/>
      <c r="AD95" s="225"/>
      <c r="AE95" s="227"/>
      <c r="AF95" s="225" t="s">
        <v>1181</v>
      </c>
      <c r="AG95" s="229"/>
    </row>
    <row r="96">
      <c r="A96" s="225" t="s">
        <v>157</v>
      </c>
      <c r="B96" s="225" t="s">
        <v>204</v>
      </c>
      <c r="C96" s="225" t="s">
        <v>48</v>
      </c>
      <c r="D96" s="226">
        <v>30.0</v>
      </c>
      <c r="E96" s="225" t="s">
        <v>815</v>
      </c>
      <c r="F96" s="227">
        <v>73.0</v>
      </c>
      <c r="G96" s="227">
        <v>22.0</v>
      </c>
      <c r="H96" s="227">
        <v>48.0</v>
      </c>
      <c r="I96" s="227">
        <v>70.0</v>
      </c>
      <c r="J96" s="226">
        <v>0.958904109589041</v>
      </c>
      <c r="K96" s="226">
        <v>80.54794520547945</v>
      </c>
      <c r="L96" s="227">
        <v>212.0</v>
      </c>
      <c r="M96" s="226">
        <v>2.904109589041096</v>
      </c>
      <c r="N96" s="228">
        <v>0.10377358490566038</v>
      </c>
      <c r="O96" s="227">
        <v>26.0</v>
      </c>
      <c r="P96" s="226">
        <v>0.3561643835616438</v>
      </c>
      <c r="Q96" s="225" t="s">
        <v>1643</v>
      </c>
      <c r="R96" s="228">
        <v>0.7440000000000001</v>
      </c>
      <c r="S96" s="225" t="s">
        <v>1644</v>
      </c>
      <c r="T96" s="227">
        <v>72.0</v>
      </c>
      <c r="U96" s="227">
        <v>67.0</v>
      </c>
      <c r="V96" s="226">
        <v>0.9178082191780822</v>
      </c>
      <c r="W96" s="227">
        <v>69.0</v>
      </c>
      <c r="X96" s="226">
        <v>0.9452054794520548</v>
      </c>
      <c r="Y96" s="227"/>
      <c r="Z96" s="228"/>
      <c r="AA96" s="227"/>
      <c r="AB96" s="228">
        <v>0.152</v>
      </c>
      <c r="AC96" s="225"/>
      <c r="AD96" s="225"/>
      <c r="AE96" s="227">
        <v>80.0</v>
      </c>
      <c r="AF96" s="225" t="s">
        <v>79</v>
      </c>
      <c r="AG96" s="229" t="s">
        <v>208</v>
      </c>
    </row>
    <row r="97">
      <c r="A97" s="225" t="s">
        <v>157</v>
      </c>
      <c r="B97" s="225" t="s">
        <v>372</v>
      </c>
      <c r="C97" s="225" t="s">
        <v>48</v>
      </c>
      <c r="D97" s="226">
        <v>32.0</v>
      </c>
      <c r="E97" s="225" t="s">
        <v>13</v>
      </c>
      <c r="F97" s="227">
        <v>78.0</v>
      </c>
      <c r="G97" s="227">
        <v>11.0</v>
      </c>
      <c r="H97" s="227">
        <v>25.0</v>
      </c>
      <c r="I97" s="227">
        <v>36.0</v>
      </c>
      <c r="J97" s="226">
        <v>0.46153846153846156</v>
      </c>
      <c r="K97" s="226">
        <v>38.769230769230774</v>
      </c>
      <c r="L97" s="227">
        <v>141.0</v>
      </c>
      <c r="M97" s="226">
        <v>1.8076923076923077</v>
      </c>
      <c r="N97" s="228">
        <v>0.07801418439716312</v>
      </c>
      <c r="O97" s="227">
        <v>6.0</v>
      </c>
      <c r="P97" s="226">
        <v>0.07692307692307693</v>
      </c>
      <c r="Q97" s="225" t="s">
        <v>1586</v>
      </c>
      <c r="R97" s="228">
        <v>0.5489999999999999</v>
      </c>
      <c r="S97" s="225" t="s">
        <v>1544</v>
      </c>
      <c r="T97" s="227">
        <v>29.0</v>
      </c>
      <c r="U97" s="227">
        <v>35.0</v>
      </c>
      <c r="V97" s="226">
        <v>0.44871794871794873</v>
      </c>
      <c r="W97" s="227">
        <v>114.0</v>
      </c>
      <c r="X97" s="226">
        <v>1.4615384615384615</v>
      </c>
      <c r="Y97" s="227"/>
      <c r="Z97" s="228"/>
      <c r="AA97" s="227"/>
      <c r="AB97" s="228">
        <v>0.14300000000000002</v>
      </c>
      <c r="AC97" s="225"/>
      <c r="AD97" s="225"/>
      <c r="AE97" s="227"/>
      <c r="AF97" s="225" t="s">
        <v>921</v>
      </c>
      <c r="AG97" s="229" t="s">
        <v>375</v>
      </c>
    </row>
    <row r="98">
      <c r="A98" s="225" t="s">
        <v>157</v>
      </c>
      <c r="B98" s="225" t="s">
        <v>584</v>
      </c>
      <c r="C98" s="225" t="s">
        <v>48</v>
      </c>
      <c r="D98" s="226">
        <v>35.0</v>
      </c>
      <c r="E98" s="225" t="s">
        <v>13</v>
      </c>
      <c r="F98" s="227">
        <v>78.0</v>
      </c>
      <c r="G98" s="227">
        <v>8.0</v>
      </c>
      <c r="H98" s="227">
        <v>31.0</v>
      </c>
      <c r="I98" s="227">
        <v>39.0</v>
      </c>
      <c r="J98" s="226">
        <v>0.5</v>
      </c>
      <c r="K98" s="226">
        <v>42.0</v>
      </c>
      <c r="L98" s="227">
        <v>108.0</v>
      </c>
      <c r="M98" s="226">
        <v>1.3846153846153846</v>
      </c>
      <c r="N98" s="228">
        <v>0.07407407407407407</v>
      </c>
      <c r="O98" s="227">
        <v>9.0</v>
      </c>
      <c r="P98" s="226">
        <v>0.11538461538461539</v>
      </c>
      <c r="Q98" s="225" t="s">
        <v>1398</v>
      </c>
      <c r="R98" s="228">
        <v>0.445</v>
      </c>
      <c r="S98" s="225" t="s">
        <v>1576</v>
      </c>
      <c r="T98" s="227">
        <v>70.0</v>
      </c>
      <c r="U98" s="227">
        <v>86.0</v>
      </c>
      <c r="V98" s="226">
        <v>1.1025641025641026</v>
      </c>
      <c r="W98" s="227">
        <v>72.0</v>
      </c>
      <c r="X98" s="226">
        <v>0.9230769230769231</v>
      </c>
      <c r="Y98" s="227"/>
      <c r="Z98" s="228"/>
      <c r="AA98" s="227"/>
      <c r="AB98" s="228">
        <v>0.06</v>
      </c>
      <c r="AC98" s="225"/>
      <c r="AD98" s="225"/>
      <c r="AE98" s="227"/>
      <c r="AF98" s="225" t="s">
        <v>419</v>
      </c>
      <c r="AG98" s="229" t="s">
        <v>585</v>
      </c>
    </row>
    <row r="99">
      <c r="A99" s="225" t="s">
        <v>57</v>
      </c>
      <c r="B99" s="225" t="s">
        <v>173</v>
      </c>
      <c r="C99" s="225" t="s">
        <v>48</v>
      </c>
      <c r="D99" s="226">
        <v>28.0</v>
      </c>
      <c r="E99" s="225" t="s">
        <v>13</v>
      </c>
      <c r="F99" s="227">
        <v>78.0</v>
      </c>
      <c r="G99" s="227">
        <v>10.0</v>
      </c>
      <c r="H99" s="227">
        <v>49.0</v>
      </c>
      <c r="I99" s="227">
        <v>59.0</v>
      </c>
      <c r="J99" s="226">
        <v>0.7564102564102564</v>
      </c>
      <c r="K99" s="226">
        <v>63.53846153846153</v>
      </c>
      <c r="L99" s="227">
        <v>159.0</v>
      </c>
      <c r="M99" s="226">
        <v>2.0384615384615383</v>
      </c>
      <c r="N99" s="228">
        <v>0.06289308176100629</v>
      </c>
      <c r="O99" s="227">
        <v>26.0</v>
      </c>
      <c r="P99" s="226">
        <v>0.3333333333333333</v>
      </c>
      <c r="Q99" s="225" t="s">
        <v>1470</v>
      </c>
      <c r="R99" s="228">
        <v>0.669</v>
      </c>
      <c r="S99" s="225" t="s">
        <v>1645</v>
      </c>
      <c r="T99" s="227">
        <v>44.0</v>
      </c>
      <c r="U99" s="227">
        <v>38.0</v>
      </c>
      <c r="V99" s="226">
        <v>0.48717948717948717</v>
      </c>
      <c r="W99" s="227">
        <v>125.0</v>
      </c>
      <c r="X99" s="226">
        <v>1.6025641025641026</v>
      </c>
      <c r="Y99" s="227"/>
      <c r="Z99" s="228"/>
      <c r="AA99" s="227"/>
      <c r="AB99" s="228">
        <v>0.568</v>
      </c>
      <c r="AC99" s="225"/>
      <c r="AD99" s="225"/>
      <c r="AE99" s="227">
        <v>70.0</v>
      </c>
      <c r="AF99" s="225" t="s">
        <v>79</v>
      </c>
      <c r="AG99" s="229" t="s">
        <v>177</v>
      </c>
    </row>
    <row r="100">
      <c r="A100" s="225" t="s">
        <v>57</v>
      </c>
      <c r="B100" s="225" t="s">
        <v>479</v>
      </c>
      <c r="C100" s="225" t="s">
        <v>48</v>
      </c>
      <c r="D100" s="226">
        <v>32.0</v>
      </c>
      <c r="E100" s="225" t="s">
        <v>815</v>
      </c>
      <c r="F100" s="227">
        <v>79.0</v>
      </c>
      <c r="G100" s="227">
        <v>4.0</v>
      </c>
      <c r="H100" s="227">
        <v>24.0</v>
      </c>
      <c r="I100" s="227">
        <v>28.0</v>
      </c>
      <c r="J100" s="226">
        <v>0.35443037974683544</v>
      </c>
      <c r="K100" s="226">
        <v>29.772151898734176</v>
      </c>
      <c r="L100" s="227">
        <v>154.0</v>
      </c>
      <c r="M100" s="226">
        <v>1.9493670886075949</v>
      </c>
      <c r="N100" s="228">
        <v>0.025974025974025976</v>
      </c>
      <c r="O100" s="227">
        <v>6.0</v>
      </c>
      <c r="P100" s="226">
        <v>0.0759493670886076</v>
      </c>
      <c r="Q100" s="225" t="s">
        <v>1244</v>
      </c>
      <c r="R100" s="228">
        <v>0.41100000000000003</v>
      </c>
      <c r="S100" s="225" t="s">
        <v>1646</v>
      </c>
      <c r="T100" s="227">
        <v>88.0</v>
      </c>
      <c r="U100" s="227">
        <v>167.0</v>
      </c>
      <c r="V100" s="226">
        <v>2.1139240506329116</v>
      </c>
      <c r="W100" s="227">
        <v>175.0</v>
      </c>
      <c r="X100" s="226">
        <v>2.2151898734177213</v>
      </c>
      <c r="Y100" s="227"/>
      <c r="Z100" s="228"/>
      <c r="AA100" s="227"/>
      <c r="AB100" s="228">
        <v>0.36700000000000005</v>
      </c>
      <c r="AC100" s="225"/>
      <c r="AD100" s="225"/>
      <c r="AE100" s="227"/>
      <c r="AF100" s="225" t="s">
        <v>469</v>
      </c>
      <c r="AG100" s="229" t="s">
        <v>1647</v>
      </c>
    </row>
    <row r="101">
      <c r="A101" s="225" t="s">
        <v>57</v>
      </c>
      <c r="B101" s="225" t="s">
        <v>467</v>
      </c>
      <c r="C101" s="225" t="s">
        <v>48</v>
      </c>
      <c r="D101" s="226">
        <v>29.0</v>
      </c>
      <c r="E101" s="225" t="s">
        <v>815</v>
      </c>
      <c r="F101" s="227">
        <v>80.0</v>
      </c>
      <c r="G101" s="227">
        <v>4.0</v>
      </c>
      <c r="H101" s="227">
        <v>32.0</v>
      </c>
      <c r="I101" s="227">
        <v>36.0</v>
      </c>
      <c r="J101" s="226">
        <v>0.45</v>
      </c>
      <c r="K101" s="226">
        <v>37.800000000000004</v>
      </c>
      <c r="L101" s="227">
        <v>55.0</v>
      </c>
      <c r="M101" s="226">
        <v>0.6875</v>
      </c>
      <c r="N101" s="228">
        <v>0.07272727272727272</v>
      </c>
      <c r="O101" s="227">
        <v>0.0</v>
      </c>
      <c r="P101" s="226">
        <v>0.0</v>
      </c>
      <c r="Q101" s="225" t="s">
        <v>883</v>
      </c>
      <c r="R101" s="228">
        <v>0.018000000000000002</v>
      </c>
      <c r="S101" s="225" t="s">
        <v>1648</v>
      </c>
      <c r="T101" s="227">
        <v>16.0</v>
      </c>
      <c r="U101" s="227">
        <v>28.0</v>
      </c>
      <c r="V101" s="226">
        <v>0.35</v>
      </c>
      <c r="W101" s="227">
        <v>68.0</v>
      </c>
      <c r="X101" s="226">
        <v>0.85</v>
      </c>
      <c r="Y101" s="227"/>
      <c r="Z101" s="228"/>
      <c r="AA101" s="227"/>
      <c r="AB101" s="228">
        <v>0.32899999999999996</v>
      </c>
      <c r="AC101" s="225"/>
      <c r="AD101" s="225"/>
      <c r="AE101" s="227">
        <v>35.0</v>
      </c>
      <c r="AF101" s="225" t="s">
        <v>1649</v>
      </c>
      <c r="AG101" s="229" t="s">
        <v>470</v>
      </c>
    </row>
    <row r="102">
      <c r="A102" s="225" t="s">
        <v>261</v>
      </c>
      <c r="B102" s="225" t="s">
        <v>258</v>
      </c>
      <c r="C102" s="225" t="s">
        <v>48</v>
      </c>
      <c r="D102" s="226">
        <v>28.0</v>
      </c>
      <c r="E102" s="225" t="s">
        <v>815</v>
      </c>
      <c r="F102" s="227">
        <v>82.0</v>
      </c>
      <c r="G102" s="227">
        <v>8.0</v>
      </c>
      <c r="H102" s="227">
        <v>41.0</v>
      </c>
      <c r="I102" s="227">
        <v>49.0</v>
      </c>
      <c r="J102" s="226">
        <v>0.5975609756097561</v>
      </c>
      <c r="K102" s="226">
        <v>50.19512195121951</v>
      </c>
      <c r="L102" s="227">
        <v>137.0</v>
      </c>
      <c r="M102" s="226">
        <v>1.670731707317073</v>
      </c>
      <c r="N102" s="228">
        <v>0.058394160583941604</v>
      </c>
      <c r="O102" s="227">
        <v>21.0</v>
      </c>
      <c r="P102" s="226">
        <v>0.25609756097560976</v>
      </c>
      <c r="Q102" s="225" t="s">
        <v>981</v>
      </c>
      <c r="R102" s="228">
        <v>0.42100000000000004</v>
      </c>
      <c r="S102" s="225" t="s">
        <v>1650</v>
      </c>
      <c r="T102" s="227">
        <v>33.0</v>
      </c>
      <c r="U102" s="227">
        <v>133.0</v>
      </c>
      <c r="V102" s="226">
        <v>1.6219512195121952</v>
      </c>
      <c r="W102" s="227">
        <v>100.0</v>
      </c>
      <c r="X102" s="226">
        <v>1.2195121951219512</v>
      </c>
      <c r="Y102" s="227"/>
      <c r="Z102" s="228"/>
      <c r="AA102" s="227"/>
      <c r="AB102" s="228">
        <v>0.524</v>
      </c>
      <c r="AC102" s="225" t="s">
        <v>77</v>
      </c>
      <c r="AD102" s="225"/>
      <c r="AE102" s="227">
        <v>55.0</v>
      </c>
      <c r="AF102" s="225" t="s">
        <v>1277</v>
      </c>
      <c r="AG102" s="229" t="s">
        <v>265</v>
      </c>
    </row>
    <row r="103">
      <c r="A103" s="225" t="s">
        <v>261</v>
      </c>
      <c r="B103" s="225" t="s">
        <v>412</v>
      </c>
      <c r="C103" s="225" t="s">
        <v>48</v>
      </c>
      <c r="D103" s="226">
        <v>20.0</v>
      </c>
      <c r="E103" s="225" t="s">
        <v>13</v>
      </c>
      <c r="F103" s="227">
        <v>76.0</v>
      </c>
      <c r="G103" s="227">
        <v>6.0</v>
      </c>
      <c r="H103" s="227">
        <v>20.0</v>
      </c>
      <c r="I103" s="227">
        <v>26.0</v>
      </c>
      <c r="J103" s="226">
        <v>0.34210526315789475</v>
      </c>
      <c r="K103" s="226">
        <v>28.736842105263158</v>
      </c>
      <c r="L103" s="227">
        <v>73.0</v>
      </c>
      <c r="M103" s="226">
        <v>0.9605263157894737</v>
      </c>
      <c r="N103" s="228">
        <v>0.0821917808219178</v>
      </c>
      <c r="O103" s="227">
        <v>13.0</v>
      </c>
      <c r="P103" s="226">
        <v>0.17105263157894737</v>
      </c>
      <c r="Q103" s="225" t="s">
        <v>1424</v>
      </c>
      <c r="R103" s="228">
        <v>0.479</v>
      </c>
      <c r="S103" s="225" t="s">
        <v>1547</v>
      </c>
      <c r="T103" s="227">
        <v>41.0</v>
      </c>
      <c r="U103" s="227">
        <v>28.0</v>
      </c>
      <c r="V103" s="226">
        <v>0.3684210526315789</v>
      </c>
      <c r="W103" s="227">
        <v>55.0</v>
      </c>
      <c r="X103" s="226">
        <v>0.7236842105263158</v>
      </c>
      <c r="Y103" s="227"/>
      <c r="Z103" s="228"/>
      <c r="AA103" s="227"/>
      <c r="AB103" s="228">
        <v>0.01</v>
      </c>
      <c r="AC103" s="225"/>
      <c r="AD103" s="225" t="s">
        <v>77</v>
      </c>
      <c r="AE103" s="227">
        <v>55.0</v>
      </c>
      <c r="AF103" s="225" t="s">
        <v>880</v>
      </c>
      <c r="AG103" s="229" t="s">
        <v>414</v>
      </c>
    </row>
    <row r="104">
      <c r="A104" s="225" t="s">
        <v>261</v>
      </c>
      <c r="B104" s="225" t="s">
        <v>628</v>
      </c>
      <c r="C104" s="225" t="s">
        <v>48</v>
      </c>
      <c r="D104" s="226">
        <v>21.0</v>
      </c>
      <c r="E104" s="225" t="s">
        <v>815</v>
      </c>
      <c r="F104" s="227">
        <v>70.0</v>
      </c>
      <c r="G104" s="227">
        <v>5.0</v>
      </c>
      <c r="H104" s="227">
        <v>16.0</v>
      </c>
      <c r="I104" s="227">
        <v>21.0</v>
      </c>
      <c r="J104" s="226">
        <v>0.3</v>
      </c>
      <c r="K104" s="226">
        <v>25.2</v>
      </c>
      <c r="L104" s="227">
        <v>59.0</v>
      </c>
      <c r="M104" s="226">
        <v>0.8428571428571429</v>
      </c>
      <c r="N104" s="228">
        <v>0.0847457627118644</v>
      </c>
      <c r="O104" s="227">
        <v>3.0</v>
      </c>
      <c r="P104" s="226">
        <v>0.04285714285714286</v>
      </c>
      <c r="Q104" s="225" t="s">
        <v>1396</v>
      </c>
      <c r="R104" s="228">
        <v>0.261</v>
      </c>
      <c r="S104" s="225" t="s">
        <v>935</v>
      </c>
      <c r="T104" s="227">
        <v>28.0</v>
      </c>
      <c r="U104" s="227">
        <v>35.0</v>
      </c>
      <c r="V104" s="226">
        <v>0.5</v>
      </c>
      <c r="W104" s="227">
        <v>78.0</v>
      </c>
      <c r="X104" s="226">
        <v>1.1142857142857143</v>
      </c>
      <c r="Y104" s="227"/>
      <c r="Z104" s="228"/>
      <c r="AA104" s="227"/>
      <c r="AB104" s="228">
        <v>0.114</v>
      </c>
      <c r="AC104" s="225"/>
      <c r="AD104" s="225"/>
      <c r="AE104" s="227">
        <v>40.0</v>
      </c>
      <c r="AF104" s="225" t="s">
        <v>1651</v>
      </c>
      <c r="AG104" s="229" t="s">
        <v>631</v>
      </c>
    </row>
    <row r="105">
      <c r="A105" s="225" t="s">
        <v>170</v>
      </c>
      <c r="B105" s="225" t="s">
        <v>364</v>
      </c>
      <c r="C105" s="225" t="s">
        <v>48</v>
      </c>
      <c r="D105" s="226">
        <v>29.0</v>
      </c>
      <c r="E105" s="225" t="s">
        <v>815</v>
      </c>
      <c r="F105" s="227">
        <v>81.0</v>
      </c>
      <c r="G105" s="227">
        <v>17.0</v>
      </c>
      <c r="H105" s="227">
        <v>30.0</v>
      </c>
      <c r="I105" s="227">
        <v>47.0</v>
      </c>
      <c r="J105" s="226">
        <v>0.5802469135802469</v>
      </c>
      <c r="K105" s="226">
        <v>48.74074074074074</v>
      </c>
      <c r="L105" s="227">
        <v>178.0</v>
      </c>
      <c r="M105" s="226">
        <v>2.197530864197531</v>
      </c>
      <c r="N105" s="228">
        <v>0.09550561797752809</v>
      </c>
      <c r="O105" s="227">
        <v>13.0</v>
      </c>
      <c r="P105" s="226">
        <v>0.16049382716049382</v>
      </c>
      <c r="Q105" s="225" t="s">
        <v>1128</v>
      </c>
      <c r="R105" s="228">
        <v>0.41100000000000003</v>
      </c>
      <c r="S105" s="225" t="s">
        <v>1652</v>
      </c>
      <c r="T105" s="227">
        <v>71.0</v>
      </c>
      <c r="U105" s="227">
        <v>37.0</v>
      </c>
      <c r="V105" s="226">
        <v>0.4567901234567901</v>
      </c>
      <c r="W105" s="227">
        <v>150.0</v>
      </c>
      <c r="X105" s="226">
        <v>1.8518518518518519</v>
      </c>
      <c r="Y105" s="227"/>
      <c r="Z105" s="228"/>
      <c r="AA105" s="227"/>
      <c r="AB105" s="228">
        <v>0.475</v>
      </c>
      <c r="AC105" s="225"/>
      <c r="AD105" s="225"/>
      <c r="AE105" s="227">
        <v>50.0</v>
      </c>
      <c r="AF105" s="225" t="s">
        <v>1653</v>
      </c>
      <c r="AG105" s="229" t="s">
        <v>369</v>
      </c>
    </row>
    <row r="106">
      <c r="A106" s="225" t="s">
        <v>170</v>
      </c>
      <c r="B106" s="225" t="s">
        <v>291</v>
      </c>
      <c r="C106" s="225" t="s">
        <v>48</v>
      </c>
      <c r="D106" s="226">
        <v>31.0</v>
      </c>
      <c r="E106" s="225" t="s">
        <v>13</v>
      </c>
      <c r="F106" s="227">
        <v>70.0</v>
      </c>
      <c r="G106" s="227">
        <v>10.0</v>
      </c>
      <c r="H106" s="227">
        <v>29.0</v>
      </c>
      <c r="I106" s="227">
        <v>39.0</v>
      </c>
      <c r="J106" s="226">
        <v>0.5571428571428572</v>
      </c>
      <c r="K106" s="226">
        <v>46.800000000000004</v>
      </c>
      <c r="L106" s="227">
        <v>130.0</v>
      </c>
      <c r="M106" s="226">
        <v>1.8571428571428572</v>
      </c>
      <c r="N106" s="228">
        <v>0.07692307692307693</v>
      </c>
      <c r="O106" s="227">
        <v>5.0</v>
      </c>
      <c r="P106" s="226">
        <v>0.07142857142857142</v>
      </c>
      <c r="Q106" s="225" t="s">
        <v>1654</v>
      </c>
      <c r="R106" s="228">
        <v>0.304</v>
      </c>
      <c r="S106" s="225" t="s">
        <v>1521</v>
      </c>
      <c r="T106" s="227">
        <v>24.0</v>
      </c>
      <c r="U106" s="227">
        <v>2.0</v>
      </c>
      <c r="V106" s="226">
        <v>0.02857142857142857</v>
      </c>
      <c r="W106" s="227">
        <v>87.0</v>
      </c>
      <c r="X106" s="226">
        <v>1.2428571428571429</v>
      </c>
      <c r="Y106" s="227"/>
      <c r="Z106" s="228"/>
      <c r="AA106" s="227"/>
      <c r="AB106" s="228">
        <v>0.34600000000000003</v>
      </c>
      <c r="AC106" s="225" t="s">
        <v>77</v>
      </c>
      <c r="AD106" s="225" t="s">
        <v>77</v>
      </c>
      <c r="AE106" s="227">
        <v>70.0</v>
      </c>
      <c r="AF106" s="225" t="s">
        <v>1655</v>
      </c>
      <c r="AG106" s="229" t="s">
        <v>293</v>
      </c>
    </row>
    <row r="107">
      <c r="A107" s="225" t="s">
        <v>170</v>
      </c>
      <c r="B107" s="225" t="s">
        <v>527</v>
      </c>
      <c r="C107" s="225" t="s">
        <v>48</v>
      </c>
      <c r="D107" s="226">
        <v>29.0</v>
      </c>
      <c r="E107" s="225" t="s">
        <v>13</v>
      </c>
      <c r="F107" s="227">
        <v>71.0</v>
      </c>
      <c r="G107" s="227">
        <v>3.0</v>
      </c>
      <c r="H107" s="227">
        <v>25.0</v>
      </c>
      <c r="I107" s="227">
        <v>28.0</v>
      </c>
      <c r="J107" s="226">
        <v>0.39436619718309857</v>
      </c>
      <c r="K107" s="226">
        <v>33.12676056338028</v>
      </c>
      <c r="L107" s="227">
        <v>135.0</v>
      </c>
      <c r="M107" s="226">
        <v>1.9014084507042253</v>
      </c>
      <c r="N107" s="228">
        <v>0.022222222222222223</v>
      </c>
      <c r="O107" s="227">
        <v>7.0</v>
      </c>
      <c r="P107" s="226">
        <v>0.09859154929577464</v>
      </c>
      <c r="Q107" s="225" t="s">
        <v>1305</v>
      </c>
      <c r="R107" s="228">
        <v>0.182</v>
      </c>
      <c r="S107" s="225" t="s">
        <v>1656</v>
      </c>
      <c r="T107" s="227">
        <v>14.0</v>
      </c>
      <c r="U107" s="227">
        <v>36.0</v>
      </c>
      <c r="V107" s="226">
        <v>0.5070422535211268</v>
      </c>
      <c r="W107" s="227">
        <v>116.0</v>
      </c>
      <c r="X107" s="226">
        <v>1.6338028169014085</v>
      </c>
      <c r="Y107" s="227"/>
      <c r="Z107" s="228"/>
      <c r="AA107" s="227"/>
      <c r="AB107" s="228">
        <v>0.39399999999999996</v>
      </c>
      <c r="AC107" s="225"/>
      <c r="AD107" s="225"/>
      <c r="AE107" s="227"/>
      <c r="AF107" s="225" t="s">
        <v>1626</v>
      </c>
      <c r="AG107" s="229" t="s">
        <v>529</v>
      </c>
    </row>
    <row r="108">
      <c r="A108" s="225" t="s">
        <v>235</v>
      </c>
      <c r="B108" s="225" t="s">
        <v>233</v>
      </c>
      <c r="C108" s="225" t="s">
        <v>48</v>
      </c>
      <c r="D108" s="226">
        <v>28.0</v>
      </c>
      <c r="E108" s="225" t="s">
        <v>13</v>
      </c>
      <c r="F108" s="227">
        <v>80.0</v>
      </c>
      <c r="G108" s="227">
        <v>26.0</v>
      </c>
      <c r="H108" s="227">
        <v>34.0</v>
      </c>
      <c r="I108" s="227">
        <v>60.0</v>
      </c>
      <c r="J108" s="226">
        <v>0.75</v>
      </c>
      <c r="K108" s="226">
        <v>63.0</v>
      </c>
      <c r="L108" s="227">
        <v>221.0</v>
      </c>
      <c r="M108" s="226">
        <v>2.7625</v>
      </c>
      <c r="N108" s="228">
        <v>0.11764705882352941</v>
      </c>
      <c r="O108" s="227">
        <v>18.0</v>
      </c>
      <c r="P108" s="226">
        <v>0.225</v>
      </c>
      <c r="Q108" s="225" t="s">
        <v>1032</v>
      </c>
      <c r="R108" s="228">
        <v>0.627</v>
      </c>
      <c r="S108" s="225" t="s">
        <v>1657</v>
      </c>
      <c r="T108" s="227">
        <v>62.0</v>
      </c>
      <c r="U108" s="227">
        <v>58.0</v>
      </c>
      <c r="V108" s="226">
        <v>0.725</v>
      </c>
      <c r="W108" s="227">
        <v>114.0</v>
      </c>
      <c r="X108" s="226">
        <v>1.425</v>
      </c>
      <c r="Y108" s="227"/>
      <c r="Z108" s="228"/>
      <c r="AA108" s="227"/>
      <c r="AB108" s="228">
        <v>0.079</v>
      </c>
      <c r="AC108" s="225"/>
      <c r="AD108" s="225"/>
      <c r="AE108" s="227">
        <v>60.0</v>
      </c>
      <c r="AF108" s="225" t="s">
        <v>1222</v>
      </c>
      <c r="AG108" s="229" t="s">
        <v>238</v>
      </c>
    </row>
    <row r="109">
      <c r="A109" s="225" t="s">
        <v>235</v>
      </c>
      <c r="B109" s="225" t="s">
        <v>345</v>
      </c>
      <c r="C109" s="225" t="s">
        <v>48</v>
      </c>
      <c r="D109" s="226">
        <v>20.0</v>
      </c>
      <c r="E109" s="225" t="s">
        <v>13</v>
      </c>
      <c r="F109" s="227">
        <v>14.0</v>
      </c>
      <c r="G109" s="227">
        <v>3.0</v>
      </c>
      <c r="H109" s="227">
        <v>7.0</v>
      </c>
      <c r="I109" s="227">
        <v>10.0</v>
      </c>
      <c r="J109" s="226">
        <v>0.7142857142857143</v>
      </c>
      <c r="K109" s="226">
        <v>60.0</v>
      </c>
      <c r="L109" s="227">
        <v>22.0</v>
      </c>
      <c r="M109" s="226">
        <v>1.5714285714285714</v>
      </c>
      <c r="N109" s="228">
        <v>0.13636363636363635</v>
      </c>
      <c r="O109" s="227">
        <v>6.0</v>
      </c>
      <c r="P109" s="226">
        <v>0.42857142857142855</v>
      </c>
      <c r="Q109" s="225" t="s">
        <v>1193</v>
      </c>
      <c r="R109" s="228">
        <v>0.493</v>
      </c>
      <c r="S109" s="225" t="s">
        <v>826</v>
      </c>
      <c r="T109" s="227">
        <v>8.0</v>
      </c>
      <c r="U109" s="227">
        <v>16.0</v>
      </c>
      <c r="V109" s="226">
        <v>1.1428571428571428</v>
      </c>
      <c r="W109" s="227">
        <v>6.0</v>
      </c>
      <c r="X109" s="226">
        <v>0.42857142857142855</v>
      </c>
      <c r="Y109" s="227"/>
      <c r="Z109" s="228"/>
      <c r="AA109" s="227"/>
      <c r="AB109" s="228">
        <v>0.008</v>
      </c>
      <c r="AC109" s="225"/>
      <c r="AD109" s="225"/>
      <c r="AE109" s="227">
        <v>70.0</v>
      </c>
      <c r="AF109" s="225" t="s">
        <v>1658</v>
      </c>
      <c r="AG109" s="229" t="s">
        <v>348</v>
      </c>
    </row>
    <row r="110">
      <c r="A110" s="225" t="s">
        <v>71</v>
      </c>
      <c r="B110" s="225" t="s">
        <v>164</v>
      </c>
      <c r="C110" s="225" t="s">
        <v>48</v>
      </c>
      <c r="D110" s="226">
        <v>31.0</v>
      </c>
      <c r="E110" s="225" t="s">
        <v>13</v>
      </c>
      <c r="F110" s="227">
        <v>77.0</v>
      </c>
      <c r="G110" s="227">
        <v>14.0</v>
      </c>
      <c r="H110" s="227">
        <v>41.0</v>
      </c>
      <c r="I110" s="227">
        <v>55.0</v>
      </c>
      <c r="J110" s="226">
        <v>0.7142857142857143</v>
      </c>
      <c r="K110" s="226">
        <v>60.0</v>
      </c>
      <c r="L110" s="227">
        <v>146.0</v>
      </c>
      <c r="M110" s="226">
        <v>1.896103896103896</v>
      </c>
      <c r="N110" s="228">
        <v>0.0958904109589041</v>
      </c>
      <c r="O110" s="227">
        <v>16.0</v>
      </c>
      <c r="P110" s="226">
        <v>0.2077922077922078</v>
      </c>
      <c r="Q110" s="225" t="s">
        <v>1495</v>
      </c>
      <c r="R110" s="228">
        <v>0.6609999999999999</v>
      </c>
      <c r="S110" s="225" t="s">
        <v>1659</v>
      </c>
      <c r="T110" s="227">
        <v>30.0</v>
      </c>
      <c r="U110" s="227">
        <v>36.0</v>
      </c>
      <c r="V110" s="226">
        <v>0.4675324675324675</v>
      </c>
      <c r="W110" s="227">
        <v>118.0</v>
      </c>
      <c r="X110" s="226">
        <v>1.5324675324675325</v>
      </c>
      <c r="Y110" s="227"/>
      <c r="Z110" s="228"/>
      <c r="AA110" s="227"/>
      <c r="AB110" s="228">
        <v>0.163</v>
      </c>
      <c r="AC110" s="225"/>
      <c r="AD110" s="225"/>
      <c r="AE110" s="227">
        <v>70.0</v>
      </c>
      <c r="AF110" s="225" t="s">
        <v>469</v>
      </c>
      <c r="AG110" s="229" t="s">
        <v>168</v>
      </c>
    </row>
    <row r="111">
      <c r="A111" s="225" t="s">
        <v>71</v>
      </c>
      <c r="B111" s="225" t="s">
        <v>531</v>
      </c>
      <c r="C111" s="225" t="s">
        <v>48</v>
      </c>
      <c r="D111" s="226">
        <v>30.0</v>
      </c>
      <c r="E111" s="225" t="s">
        <v>815</v>
      </c>
      <c r="F111" s="227">
        <v>51.0</v>
      </c>
      <c r="G111" s="227">
        <v>3.0</v>
      </c>
      <c r="H111" s="227">
        <v>9.0</v>
      </c>
      <c r="I111" s="227">
        <v>12.0</v>
      </c>
      <c r="J111" s="226">
        <v>0.23529411764705882</v>
      </c>
      <c r="K111" s="226">
        <v>19.764705882352942</v>
      </c>
      <c r="L111" s="227">
        <v>97.0</v>
      </c>
      <c r="M111" s="226">
        <v>1.9019607843137254</v>
      </c>
      <c r="N111" s="228">
        <v>0.030927835051546393</v>
      </c>
      <c r="O111" s="227">
        <v>2.0</v>
      </c>
      <c r="P111" s="226">
        <v>0.0392156862745098</v>
      </c>
      <c r="Q111" s="225" t="s">
        <v>1265</v>
      </c>
      <c r="R111" s="228">
        <v>0.34299999999999997</v>
      </c>
      <c r="S111" s="225" t="s">
        <v>1660</v>
      </c>
      <c r="T111" s="227">
        <v>37.0</v>
      </c>
      <c r="U111" s="227">
        <v>111.0</v>
      </c>
      <c r="V111" s="226">
        <v>2.176470588235294</v>
      </c>
      <c r="W111" s="227">
        <v>75.0</v>
      </c>
      <c r="X111" s="226">
        <v>1.4705882352941178</v>
      </c>
      <c r="Y111" s="227"/>
      <c r="Z111" s="228"/>
      <c r="AA111" s="227"/>
      <c r="AB111" s="228">
        <v>0.528</v>
      </c>
      <c r="AC111" s="225" t="s">
        <v>77</v>
      </c>
      <c r="AD111" s="225" t="s">
        <v>77</v>
      </c>
      <c r="AE111" s="227">
        <v>40.0</v>
      </c>
      <c r="AF111" s="225" t="s">
        <v>819</v>
      </c>
      <c r="AG111" s="229" t="s">
        <v>533</v>
      </c>
    </row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2:AG111">
    <cfRule type="expression" dxfId="7" priority="1">
      <formula>$F2=""</formula>
    </cfRule>
  </conditionalFormatting>
  <dataValidations>
    <dataValidation type="list" allowBlank="1" sqref="AC2:AD111">
      <formula1>"OUI"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